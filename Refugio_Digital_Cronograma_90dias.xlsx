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es 1 - Abril" sheetId="2" state="visible" r:id="rId4"/>
    <sheet name="Mes 2 - Mayo" sheetId="3" state="visible" r:id="rId5"/>
    <sheet name="Mes 3 - Junio" sheetId="4" state="visible" r:id="rId6"/>
    <sheet name="Por Líder" sheetId="5" state="visible" r:id="rId7"/>
    <sheet name="Presupuesto 90 dí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<sst xmlns="http://schemas.openxmlformats.org/spreadsheetml/2006/main" count="1122" uniqueCount="503">
  <si>
    <t xml:space="preserve">REFUGIO DIGITAL — Cronograma 90 Días</t>
  </si>
  <si>
    <t xml:space="preserve">Plan ejecutivo de los primeros tres meses · Abril–Junio 2026</t>
  </si>
  <si>
    <t xml:space="preserve">LAS 3 FASES DE 30 DÍAS</t>
  </si>
  <si>
    <t xml:space="preserve">Fase</t>
  </si>
  <si>
    <t xml:space="preserve">Mes</t>
  </si>
  <si>
    <t xml:space="preserve">Período</t>
  </si>
  <si>
    <t xml:space="preserve">Hito principal</t>
  </si>
  <si>
    <t xml:space="preserve">Líder principal</t>
  </si>
  <si>
    <t xml:space="preserve">Apoyan</t>
  </si>
  <si>
    <t xml:space="preserve">Status</t>
  </si>
  <si>
    <t xml:space="preserve">Fase 1</t>
  </si>
  <si>
    <t xml:space="preserve">Mes 1</t>
  </si>
  <si>
    <t xml:space="preserve">Abril 2026</t>
  </si>
  <si>
    <t xml:space="preserve">Fundación Legal completa: 501(c)(3) constituida + LLC con clases + Operating Agreement firmado</t>
  </si>
  <si>
    <t xml:space="preserve">Marcos</t>
  </si>
  <si>
    <t xml:space="preserve">Pastor Javier (statement of faith), Alfredo (consultivo)</t>
  </si>
  <si>
    <t xml:space="preserve">🟡 Pendiente</t>
  </si>
  <si>
    <t xml:space="preserve">Fase 2</t>
  </si>
  <si>
    <t xml:space="preserve">Mes 2</t>
  </si>
  <si>
    <t xml:space="preserve">Mayo 2026</t>
  </si>
  <si>
    <t xml:space="preserve">Fundación Financiera operativa: cuentas bancarias + sistema contable + capital inicial $30K-$50K + sitio web v1</t>
  </si>
  <si>
    <t xml:space="preserve">Los tres en captación de donantes</t>
  </si>
  <si>
    <t xml:space="preserve">⚪ No iniciada</t>
  </si>
  <si>
    <t xml:space="preserve">Fase 3</t>
  </si>
  <si>
    <t xml:space="preserve">Mes 3</t>
  </si>
  <si>
    <t xml:space="preserve">Junio 2026</t>
  </si>
  <si>
    <t xml:space="preserve">Diseño Operacional listo: currículo detallado + universidad virtual v0.9 + hardware comprado + child safeguarding</t>
  </si>
  <si>
    <t xml:space="preserve">Alfredo</t>
  </si>
  <si>
    <t xml:space="preserve">Marcos (logística), Pastor Javier (validación)</t>
  </si>
  <si>
    <t xml:space="preserve">DEDICACIÓN ESTIMADA POR LÍDER (horas/semana)</t>
  </si>
  <si>
    <t xml:space="preserve">Líder</t>
  </si>
  <si>
    <t xml:space="preserve">Mes 1 (Abril)</t>
  </si>
  <si>
    <t xml:space="preserve">Mes 2 (Mayo)</t>
  </si>
  <si>
    <t xml:space="preserve">Mes 3 (Junio)</t>
  </si>
  <si>
    <t xml:space="preserve">Pastor Javier</t>
  </si>
  <si>
    <t xml:space="preserve">5-8 hrs/sem</t>
  </si>
  <si>
    <t xml:space="preserve">8-12 hrs/sem</t>
  </si>
  <si>
    <t xml:space="preserve">10-15 hrs/sem</t>
  </si>
  <si>
    <t xml:space="preserve">15-20 hrs/sem</t>
  </si>
  <si>
    <t xml:space="preserve">REUNIONES REGULARES DE LOS TRES LÍDERES</t>
  </si>
  <si>
    <t xml:space="preserve">Frecuencia</t>
  </si>
  <si>
    <t xml:space="preserve">Día sugerido</t>
  </si>
  <si>
    <t xml:space="preserve">Duración</t>
  </si>
  <si>
    <t xml:space="preserve">Propósito</t>
  </si>
  <si>
    <t xml:space="preserve">Semanal</t>
  </si>
  <si>
    <t xml:space="preserve">Lunes 8:00 PM</t>
  </si>
  <si>
    <t xml:space="preserve">30-45 min</t>
  </si>
  <si>
    <t xml:space="preserve">Sync operacional · Actualizaciones · Bloqueos</t>
  </si>
  <si>
    <t xml:space="preserve">Quincenal</t>
  </si>
  <si>
    <t xml:space="preserve">Sábado 9:00 AM</t>
  </si>
  <si>
    <t xml:space="preserve">90 min</t>
  </si>
  <si>
    <t xml:space="preserve">Reunión estratégica · Decisiones pendientes</t>
  </si>
  <si>
    <t xml:space="preserve">Mensual</t>
  </si>
  <si>
    <t xml:space="preserve">Primer sábado</t>
  </si>
  <si>
    <t xml:space="preserve">2-3 horas</t>
  </si>
  <si>
    <t xml:space="preserve">Gobernanza · Finanzas · Oración conjunta</t>
  </si>
  <si>
    <t xml:space="preserve">INDICADORES DE ÉXITO AL FINAL DE LOS 90 DÍAS</t>
  </si>
  <si>
    <t xml:space="preserve">#</t>
  </si>
  <si>
    <t xml:space="preserve">Indicador</t>
  </si>
  <si>
    <t xml:space="preserve">Responsable principal</t>
  </si>
  <si>
    <t xml:space="preserve">Estado meta</t>
  </si>
  <si>
    <t xml:space="preserve">501(c)(3) presentada al IRS y confirmada</t>
  </si>
  <si>
    <t xml:space="preserve">✅ Completado</t>
  </si>
  <si>
    <t xml:space="preserve">LLC constituida con Operating Agreement firmado</t>
  </si>
  <si>
    <t xml:space="preserve">Cuentas bancarias separadas operativas</t>
  </si>
  <si>
    <t xml:space="preserve">Capital inicial $30K-$50K en cuenta</t>
  </si>
  <si>
    <t xml:space="preserve">Marcos + los tres</t>
  </si>
  <si>
    <t xml:space="preserve">Sitio web v1 publicado con info básica</t>
  </si>
  <si>
    <t xml:space="preserve">Currículo detallado de los 3 niveles validado</t>
  </si>
  <si>
    <t xml:space="preserve">Alfredo + Pastor Javier</t>
  </si>
  <si>
    <t xml:space="preserve">Universidad virtual v0.9 funcional</t>
  </si>
  <si>
    <t xml:space="preserve">Lista de hardware comprada y en tránsito a Haití</t>
  </si>
  <si>
    <t xml:space="preserve">Políticas child safeguarding documentadas</t>
  </si>
  <si>
    <t xml:space="preserve">Marcos + Pastor Javier</t>
  </si>
  <si>
    <t xml:space="preserve">Statement of Faith del proyecto firmado por los tres</t>
  </si>
  <si>
    <t xml:space="preserve">Primera aplicación a Tyndale en preparación (deadline 2 julio)</t>
  </si>
  <si>
    <t xml:space="preserve">Aplicación al AWS Imagine Pathfinder enviada</t>
  </si>
  <si>
    <t xml:space="preserve">Marcos + Alfredo</t>
  </si>
  <si>
    <t xml:space="preserve">MES 1 — ABRIL 2026 · Fundación Legal</t>
  </si>
  <si>
    <t xml:space="preserve">Hito principal: Las dos entidades legales constituidas y operativas. Statement of Faith firmado.</t>
  </si>
  <si>
    <t xml:space="preserve">Sem</t>
  </si>
  <si>
    <t xml:space="preserve">Tarea</t>
  </si>
  <si>
    <t xml:space="preserve">Inicio</t>
  </si>
  <si>
    <t xml:space="preserve">Fin</t>
  </si>
  <si>
    <t xml:space="preserve">Notas</t>
  </si>
  <si>
    <t xml:space="preserve">S1</t>
  </si>
  <si>
    <t xml:space="preserve">Reunión inaugural de los tres líderes — leer y firmar Acuerdo Fundacional</t>
  </si>
  <si>
    <t xml:space="preserve">Los tres</t>
  </si>
  <si>
    <t xml:space="preserve">1-Abr</t>
  </si>
  <si>
    <t xml:space="preserve">Reservar 3 horas. Imprimir 3 copias.</t>
  </si>
  <si>
    <t xml:space="preserve">Buscar y contratar abogado especializado en 501(c)(3) + LLC</t>
  </si>
  <si>
    <t xml:space="preserve">—</t>
  </si>
  <si>
    <t xml:space="preserve">5-Abr</t>
  </si>
  <si>
    <t xml:space="preserve">Florida Bar, ECFA, NCF para referidos. $2.5K-$5K esperados.</t>
  </si>
  <si>
    <t xml:space="preserve">Reservar nombre 'Refugio Digital Foundation' en Florida</t>
  </si>
  <si>
    <t xml:space="preserve">2-Abr</t>
  </si>
  <si>
    <t xml:space="preserve">sunbiz.org · $35</t>
  </si>
  <si>
    <t xml:space="preserve">Borrador inicial del Statement of Faith del proyecto</t>
  </si>
  <si>
    <t xml:space="preserve">Marcos consultivo</t>
  </si>
  <si>
    <t xml:space="preserve">7-Abr</t>
  </si>
  <si>
    <t xml:space="preserve">Documento de identidad teológica del proyecto</t>
  </si>
  <si>
    <t xml:space="preserve">Inventario de herramientas AI a incluir en currículo (versión inicial)</t>
  </si>
  <si>
    <t xml:space="preserve">Lista preliminar de las 6 habilidades con tools específicos</t>
  </si>
  <si>
    <t xml:space="preserve">S2</t>
  </si>
  <si>
    <t xml:space="preserve">Engagement letter con abogado firmado</t>
  </si>
  <si>
    <t xml:space="preserve">8-Abr</t>
  </si>
  <si>
    <t xml:space="preserve">10-Abr</t>
  </si>
  <si>
    <t xml:space="preserve">Cronograma + presupuesto + lista de docs</t>
  </si>
  <si>
    <t xml:space="preserve">Articles of Incorporation (Nonprofit) presentados</t>
  </si>
  <si>
    <t xml:space="preserve">Marcos + abogado</t>
  </si>
  <si>
    <t xml:space="preserve">12-Abr</t>
  </si>
  <si>
    <t xml:space="preserve">Florida Department of State · $70</t>
  </si>
  <si>
    <t xml:space="preserve">Articles of Organization (LLC) presentados</t>
  </si>
  <si>
    <t xml:space="preserve">Florida Department of State · $125</t>
  </si>
  <si>
    <t xml:space="preserve">Solicitud de EIN para ambas entidades</t>
  </si>
  <si>
    <t xml:space="preserve">13-Abr</t>
  </si>
  <si>
    <t xml:space="preserve">IRS Form SS-4 online · gratis</t>
  </si>
  <si>
    <t xml:space="preserve">Statement of Faith finalizado y revisado por los tres</t>
  </si>
  <si>
    <t xml:space="preserve">14-Abr</t>
  </si>
  <si>
    <t xml:space="preserve">Documento corto, 1-2 páginas, firmado</t>
  </si>
  <si>
    <t xml:space="preserve">Investigación de plataformas LMS para universidad virtual</t>
  </si>
  <si>
    <t xml:space="preserve">Considerar: Moodle, LearnDash, Thinkific, Teachable, custom</t>
  </si>
  <si>
    <t xml:space="preserve">S3</t>
  </si>
  <si>
    <t xml:space="preserve">Borrador de Bylaws (estatutos) de la nonprofit</t>
  </si>
  <si>
    <t xml:space="preserve">Abogado</t>
  </si>
  <si>
    <t xml:space="preserve">Marcos revisa</t>
  </si>
  <si>
    <t xml:space="preserve">15-Abr</t>
  </si>
  <si>
    <t xml:space="preserve">21-Abr</t>
  </si>
  <si>
    <t xml:space="preserve">Plantilla del abogado + customización</t>
  </si>
  <si>
    <t xml:space="preserve">Borrador de Operating Agreement de la LLC con las 3 clases + pool</t>
  </si>
  <si>
    <t xml:space="preserve">Marcos revisa, los otros consultan</t>
  </si>
  <si>
    <t xml:space="preserve">Crítico: Class A 51%, B 16%, C 17%, Reserve 16%</t>
  </si>
  <si>
    <t xml:space="preserve">Identificar 5+ candidatos para Junta Directiva inicial de la nonprofit</t>
  </si>
  <si>
    <t xml:space="preserve">Pastor Javier (red pastoral)</t>
  </si>
  <si>
    <t xml:space="preserve">Min 3, ideal 5+. No familia. Pastor + financiero + advisor</t>
  </si>
  <si>
    <t xml:space="preserve">Reunión semanal de los tres líderes</t>
  </si>
  <si>
    <t xml:space="preserve">Marcos facilita</t>
  </si>
  <si>
    <t xml:space="preserve">Lunes 8 PM · 30-45 min</t>
  </si>
  <si>
    <t xml:space="preserve">Estructura inicial del syllabus por nivel (Verde/Ámbar/Oro)</t>
  </si>
  <si>
    <t xml:space="preserve">Pastor Javier para componente integral</t>
  </si>
  <si>
    <t xml:space="preserve">Tomar de currículo existente como base</t>
  </si>
  <si>
    <t xml:space="preserve">S4</t>
  </si>
  <si>
    <t xml:space="preserve">Bylaws + Operating Agreement firmados por los tres líderes</t>
  </si>
  <si>
    <t xml:space="preserve">Los tres firman</t>
  </si>
  <si>
    <t xml:space="preserve">22-Abr</t>
  </si>
  <si>
    <t xml:space="preserve">26-Abr</t>
  </si>
  <si>
    <t xml:space="preserve">Notarización si aplica</t>
  </si>
  <si>
    <t xml:space="preserve">Form 1023 (501c3) preparado para envío</t>
  </si>
  <si>
    <t xml:space="preserve">28-Abr</t>
  </si>
  <si>
    <t xml:space="preserve">$600 · 40+ páginas · respuesta IRS 3-12 meses</t>
  </si>
  <si>
    <t xml:space="preserve">Service Agreement entre Foundation y LLC redactado</t>
  </si>
  <si>
    <t xml:space="preserve">Documento crítico para IRS</t>
  </si>
  <si>
    <t xml:space="preserve">Junta Directiva inicial confirmada y notificada</t>
  </si>
  <si>
    <t xml:space="preserve">Aceptaciones por escrito</t>
  </si>
  <si>
    <t xml:space="preserve">Mapa preliminar del currículo de las 48 semanas (estructura sin contenido detallado)</t>
  </si>
  <si>
    <t xml:space="preserve">Tabla de temas semana por semana</t>
  </si>
  <si>
    <t xml:space="preserve">Reunión mensual de gobernanza</t>
  </si>
  <si>
    <t xml:space="preserve">Sábado · 2-3 horas · Revisión Mes 1, planificación Mes 2</t>
  </si>
  <si>
    <t xml:space="preserve">Form 1023 enviado al IRS</t>
  </si>
  <si>
    <t xml:space="preserve">29-Abr</t>
  </si>
  <si>
    <t xml:space="preserve">30-Abr</t>
  </si>
  <si>
    <t xml:space="preserve">Empieza el reloj de la determinación IRS</t>
  </si>
  <si>
    <t xml:space="preserve">MES 2 — MAYO 2026 · Fundación Financiera</t>
  </si>
  <si>
    <t xml:space="preserve">Hito principal: Cuentas bancarias operativas, sistema contable, capital inicial $30K-$50K, sitio web v1.</t>
  </si>
  <si>
    <t xml:space="preserve">S5</t>
  </si>
  <si>
    <t xml:space="preserve">Recibir certificados de incorporación y EINs del IRS</t>
  </si>
  <si>
    <t xml:space="preserve">1-May</t>
  </si>
  <si>
    <t xml:space="preserve">3-May</t>
  </si>
  <si>
    <t xml:space="preserve">Documentos físicos para banco</t>
  </si>
  <si>
    <t xml:space="preserve">Investigar bancos: Chase, BofA, ECCU, Thrivent</t>
  </si>
  <si>
    <t xml:space="preserve">5-May</t>
  </si>
  <si>
    <t xml:space="preserve">Llamar a sucursales en Miami</t>
  </si>
  <si>
    <t xml:space="preserve">Identificar 20-30 contactos de la red personal para donaciones semilla</t>
  </si>
  <si>
    <t xml:space="preserve">Los tres juntos</t>
  </si>
  <si>
    <t xml:space="preserve">Cada uno aporta su lista</t>
  </si>
  <si>
    <t xml:space="preserve">Familia, miembros de iglesia, clientes, colegas</t>
  </si>
  <si>
    <t xml:space="preserve">Reunión semanal</t>
  </si>
  <si>
    <t xml:space="preserve">Lunes 8 PM</t>
  </si>
  <si>
    <t xml:space="preserve">Comparación de plataformas LMS — recomendación final</t>
  </si>
  <si>
    <t xml:space="preserve">Marcos consultivo (presupuesto)</t>
  </si>
  <si>
    <t xml:space="preserve">7-May</t>
  </si>
  <si>
    <t xml:space="preserve">Decisión técnica + costo + fit con currículo</t>
  </si>
  <si>
    <t xml:space="preserve">Borrador del plan de contenido bíblico semanal del Nivel 1 (Verde)</t>
  </si>
  <si>
    <t xml:space="preserve">Alfredo para integración</t>
  </si>
  <si>
    <t xml:space="preserve">16 semanas del Trimestre 1</t>
  </si>
  <si>
    <t xml:space="preserve">S6</t>
  </si>
  <si>
    <t xml:space="preserve">Abrir cuenta bancaria de la 501(c)(3)</t>
  </si>
  <si>
    <t xml:space="preserve">8-May</t>
  </si>
  <si>
    <t xml:space="preserve">10-May</t>
  </si>
  <si>
    <t xml:space="preserve">En persona · llevar todos los documentos</t>
  </si>
  <si>
    <t xml:space="preserve">Abrir cuenta bancaria de la LLC</t>
  </si>
  <si>
    <t xml:space="preserve">Cuenta separada · NO mezclar</t>
  </si>
  <si>
    <t xml:space="preserve">Configurar Aplos como sistema contable</t>
  </si>
  <si>
    <t xml:space="preserve">12-May</t>
  </si>
  <si>
    <t xml:space="preserve">$59/mes · plan de cuentas inicial</t>
  </si>
  <si>
    <t xml:space="preserve">Primera ronda de pedidos a donantes semilla — meta $15K</t>
  </si>
  <si>
    <t xml:space="preserve">Cada uno con sus contactos</t>
  </si>
  <si>
    <t xml:space="preserve">14-May</t>
  </si>
  <si>
    <t xml:space="preserve">Email personalizado, no masivo</t>
  </si>
  <si>
    <t xml:space="preserve">Borrador de plan de contenido bíblico Nivel 2 (Ámbar)</t>
  </si>
  <si>
    <t xml:space="preserve">Configuración inicial de plataforma LMS elegida</t>
  </si>
  <si>
    <t xml:space="preserve">Setup técnico, cuenta, primera estructura</t>
  </si>
  <si>
    <t xml:space="preserve">S7</t>
  </si>
  <si>
    <t xml:space="preserve">Configurar DonorBox + Stripe para donaciones online</t>
  </si>
  <si>
    <t xml:space="preserve">15-May</t>
  </si>
  <si>
    <t xml:space="preserve">17-May</t>
  </si>
  <si>
    <t xml:space="preserve">Widget embebible para sitio web</t>
  </si>
  <si>
    <t xml:space="preserve">Construir sitio web v1 (landing + donate + about + contact)</t>
  </si>
  <si>
    <t xml:space="preserve">Alfredo contenido educativo, Javier teología</t>
  </si>
  <si>
    <t xml:space="preserve">21-May</t>
  </si>
  <si>
    <t xml:space="preserve">Lovable.dev o Bolt — refugiodigital.org</t>
  </si>
  <si>
    <t xml:space="preserve">Comprar dominios: refugiodigital.org, .com, .net + handles redes sociales</t>
  </si>
  <si>
    <t xml:space="preserve">16-May</t>
  </si>
  <si>
    <t xml:space="preserve">GoDaddy/Namecheap · ~$50/año</t>
  </si>
  <si>
    <t xml:space="preserve">Reunión quincenal estratégica</t>
  </si>
  <si>
    <t xml:space="preserve">Sábado 9 AM · 90 min</t>
  </si>
  <si>
    <t xml:space="preserve">Borrador de plan de contenido bíblico Nivel 3 (Oro)</t>
  </si>
  <si>
    <t xml:space="preserve">Estructura de cursos en LMS para los tres niveles</t>
  </si>
  <si>
    <t xml:space="preserve">Carpetas, módulos, lecciones vacías</t>
  </si>
  <si>
    <t xml:space="preserve">S8</t>
  </si>
  <si>
    <t xml:space="preserve">Segunda ronda de pedidos a donantes — meta acumulada $30K-$50K</t>
  </si>
  <si>
    <t xml:space="preserve">22-May</t>
  </si>
  <si>
    <t xml:space="preserve">28-May</t>
  </si>
  <si>
    <t xml:space="preserve">Follow-up + nuevos contactos</t>
  </si>
  <si>
    <t xml:space="preserve">Sitio web v1 publicado en producción</t>
  </si>
  <si>
    <t xml:space="preserve">Los tres revisan</t>
  </si>
  <si>
    <t xml:space="preserve">26-May</t>
  </si>
  <si>
    <t xml:space="preserve">DNS, SSL, formulario contacto, donate funcional</t>
  </si>
  <si>
    <t xml:space="preserve">Aplicar a Google for Nonprofits, Microsoft for Nonprofits, OpenAI Nonprofit, Anthropic Claude for Nonprofits</t>
  </si>
  <si>
    <t xml:space="preserve">Todos gratis · respuesta rápida</t>
  </si>
  <si>
    <t xml:space="preserve">Investigación inicial de Tyndale Foundation (deadline 2 julio)</t>
  </si>
  <si>
    <t xml:space="preserve">Account request en su portal</t>
  </si>
  <si>
    <t xml:space="preserve">31-May</t>
  </si>
  <si>
    <t xml:space="preserve">Sábado · revisión Mes 2 + planificación Mes 3</t>
  </si>
  <si>
    <t xml:space="preserve">Primer video educativo de prueba para LMS</t>
  </si>
  <si>
    <t xml:space="preserve">10-15 min · una habilidad concreta</t>
  </si>
  <si>
    <t xml:space="preserve">MES 3 — JUNIO 2026 · Diseño Operacional</t>
  </si>
  <si>
    <t xml:space="preserve">Hito principal: Currículo detallado, universidad virtual v0.9, hardware comprado, Tyndale enviada (deadline 2 julio).</t>
  </si>
  <si>
    <t xml:space="preserve">S9</t>
  </si>
  <si>
    <t xml:space="preserve">Determinación parcial de IRS o seguimiento (no esperar respuesta final)</t>
  </si>
  <si>
    <t xml:space="preserve">1-Jun</t>
  </si>
  <si>
    <t xml:space="preserve">7-Jun</t>
  </si>
  <si>
    <t xml:space="preserve">Documentar status para grants</t>
  </si>
  <si>
    <t xml:space="preserve">Iniciar borrador Letter of Inquiry para Tyndale</t>
  </si>
  <si>
    <t xml:space="preserve">Usar template de Guía de Grants</t>
  </si>
  <si>
    <t xml:space="preserve">Detallado del Trimestre 1 del Nivel 1 (Verde) — semana por semana completa</t>
  </si>
  <si>
    <t xml:space="preserve">Pastor Javier para integral</t>
  </si>
  <si>
    <t xml:space="preserve">16 semanas con objetivos, actividades, evaluación</t>
  </si>
  <si>
    <t xml:space="preserve">Búsqueda inicial de candidatos para Coordinador Local en Haití</t>
  </si>
  <si>
    <t xml:space="preserve">Pedirle al misionero local que recomiende 3-5</t>
  </si>
  <si>
    <t xml:space="preserve">2-Jun</t>
  </si>
  <si>
    <t xml:space="preserve">Producción de contenido bíblico-integral del Trimestre 1 Nivel 1</t>
  </si>
  <si>
    <t xml:space="preserve">Materiales descargables semanales</t>
  </si>
  <si>
    <t xml:space="preserve">S10</t>
  </si>
  <si>
    <t xml:space="preserve">Lista de hardware finalizada con cotizaciones</t>
  </si>
  <si>
    <t xml:space="preserve">Alfredo (specs técnicos)</t>
  </si>
  <si>
    <t xml:space="preserve">8-Jun</t>
  </si>
  <si>
    <t xml:space="preserve">12-Jun</t>
  </si>
  <si>
    <t xml:space="preserve">15 Chromebooks, MacBook, Pi 5, Starlink, solar, mobiliario</t>
  </si>
  <si>
    <t xml:space="preserve">Iniciar compra del hardware (lo crítico)</t>
  </si>
  <si>
    <t xml:space="preserve">14-Jun</t>
  </si>
  <si>
    <t xml:space="preserve">$14K-$19K total · empezar con Chromebooks</t>
  </si>
  <si>
    <t xml:space="preserve">Detallado del Trimestre 1 del Nivel 2 (Ámbar)</t>
  </si>
  <si>
    <t xml:space="preserve">16 semanas completas</t>
  </si>
  <si>
    <t xml:space="preserve">Reunión semanal + revisión de captación de donaciones</t>
  </si>
  <si>
    <t xml:space="preserve">9-Jun</t>
  </si>
  <si>
    <t xml:space="preserve">Status del capital inicial</t>
  </si>
  <si>
    <t xml:space="preserve">Producción de contenido bíblico-integral Trimestre 1 Nivel 2</t>
  </si>
  <si>
    <t xml:space="preserve">Adaptado a 15-17 años</t>
  </si>
  <si>
    <t xml:space="preserve">Primera versión completa del LOI para Tyndale</t>
  </si>
  <si>
    <t xml:space="preserve">Customizado a sus prioridades</t>
  </si>
  <si>
    <t xml:space="preserve">S11</t>
  </si>
  <si>
    <t xml:space="preserve">Borrador de políticas de Child Safeguarding</t>
  </si>
  <si>
    <t xml:space="preserve">Pastor Javier (dimensión pastoral)</t>
  </si>
  <si>
    <t xml:space="preserve">15-Jun</t>
  </si>
  <si>
    <t xml:space="preserve">21-Jun</t>
  </si>
  <si>
    <t xml:space="preserve">Keeping Children Safe + Viva Network templates</t>
  </si>
  <si>
    <t xml:space="preserve">Detallado del Trimestre 1 del Nivel 3 (Oro)</t>
  </si>
  <si>
    <t xml:space="preserve">16 semanas con énfasis en BAM</t>
  </si>
  <si>
    <t xml:space="preserve">Investigación de AWS Imagine Pathfinder — descargar guidelines</t>
  </si>
  <si>
    <t xml:space="preserve">Round 1 abre cuando AWS lo notifique</t>
  </si>
  <si>
    <t xml:space="preserve">Producción de contenido bíblico-integral Trimestre 1 Nivel 3</t>
  </si>
  <si>
    <t xml:space="preserve">Adaptado a 18-22 años + BAM</t>
  </si>
  <si>
    <t xml:space="preserve">Plan de adecuación del espacio físico en Haití</t>
  </si>
  <si>
    <t xml:space="preserve">Coordinador local cuando esté contratado</t>
  </si>
  <si>
    <t xml:space="preserve">Pintura, eléctrico, mobiliario, AC</t>
  </si>
  <si>
    <t xml:space="preserve">S12</t>
  </si>
  <si>
    <t xml:space="preserve">Hardware en envío a Haití (logística + aranceles)</t>
  </si>
  <si>
    <t xml:space="preserve">22-Jun</t>
  </si>
  <si>
    <t xml:space="preserve">28-Jun</t>
  </si>
  <si>
    <t xml:space="preserve">Coordinar con misionero local en Haití</t>
  </si>
  <si>
    <t xml:space="preserve">Universidad virtual v0.9 funcional con primer trimestre del Nivel 1</t>
  </si>
  <si>
    <t xml:space="preserve">Plataforma + cursos + primeras lecciones</t>
  </si>
  <si>
    <t xml:space="preserve">LOI Tyndale finalizada y enviada (deadline 2 julio)</t>
  </si>
  <si>
    <t xml:space="preserve">Los tres aprueban</t>
  </si>
  <si>
    <t xml:space="preserve">30-Jun</t>
  </si>
  <si>
    <t xml:space="preserve">Cumplir deadline crítico</t>
  </si>
  <si>
    <t xml:space="preserve">Políticas Child Safeguarding finalizadas y firmadas por los tres</t>
  </si>
  <si>
    <t xml:space="preserve">Documento operativo no negociable</t>
  </si>
  <si>
    <t xml:space="preserve">23-Jun</t>
  </si>
  <si>
    <t xml:space="preserve">Reunión mensual + revisión de los 90 días</t>
  </si>
  <si>
    <t xml:space="preserve">Sábado · evaluación completa + planificación Mes 4</t>
  </si>
  <si>
    <t xml:space="preserve">Plan de capacitación del Coordinador Local (4 semanas)</t>
  </si>
  <si>
    <t xml:space="preserve">Spiritual + técnico + operacional</t>
  </si>
  <si>
    <t xml:space="preserve">RESPONSABILIDADES POR LÍDER — 90 DÍAS</t>
  </si>
  <si>
    <t xml:space="preserve">PASTOR JAVIER — Dirección Espiritual y Bíblica</t>
  </si>
  <si>
    <t xml:space="preserve">Tarea principal</t>
  </si>
  <si>
    <t xml:space="preserve">Entregable</t>
  </si>
  <si>
    <t xml:space="preserve">Horas estimadas</t>
  </si>
  <si>
    <t xml:space="preserve">Borrador del Statement of Faith del proyecto</t>
  </si>
  <si>
    <t xml:space="preserve">Documento 1-2 páginas firmado por los tres</t>
  </si>
  <si>
    <t xml:space="preserve">8-12 hrs</t>
  </si>
  <si>
    <t xml:space="preserve">⚪</t>
  </si>
  <si>
    <t xml:space="preserve">Identidad teológica del proyecto</t>
  </si>
  <si>
    <t xml:space="preserve">Identificar pastores referencia para Junta Directiva</t>
  </si>
  <si>
    <t xml:space="preserve">Lista de 2-3 candidatos contactados</t>
  </si>
  <si>
    <t xml:space="preserve">4-6 hrs</t>
  </si>
  <si>
    <t xml:space="preserve">Apoyando a Marcos</t>
  </si>
  <si>
    <t xml:space="preserve">Estructura inicial del componente integral del currículo</t>
  </si>
  <si>
    <t xml:space="preserve">Esquema general por nivel</t>
  </si>
  <si>
    <t xml:space="preserve">6-8 hrs</t>
  </si>
  <si>
    <t xml:space="preserve">Coordinar con Alfredo</t>
  </si>
  <si>
    <t xml:space="preserve">Plan de contenido bíblico semanal Nivel 1 (Verde)</t>
  </si>
  <si>
    <t xml:space="preserve">16 semanas del Trimestre 1 con tema y pasaje</t>
  </si>
  <si>
    <t xml:space="preserve">12-16 hrs</t>
  </si>
  <si>
    <t xml:space="preserve">Adaptado a 10-14 años</t>
  </si>
  <si>
    <t xml:space="preserve">Plan de contenido bíblico semanal Nivel 2 (Ámbar)</t>
  </si>
  <si>
    <t xml:space="preserve">Plan de contenido bíblico semanal Nivel 3 (Oro)</t>
  </si>
  <si>
    <t xml:space="preserve">Producción de contenido bíblico-integral Nivel 1</t>
  </si>
  <si>
    <t xml:space="preserve">16-20 hrs</t>
  </si>
  <si>
    <t xml:space="preserve">Para integración en LMS</t>
  </si>
  <si>
    <t xml:space="preserve">Producción de contenido bíblico-integral Nivel 2</t>
  </si>
  <si>
    <t xml:space="preserve">Continuación</t>
  </si>
  <si>
    <t xml:space="preserve">Producción de contenido bíblico-integral Nivel 3</t>
  </si>
  <si>
    <t xml:space="preserve">Validación pastoral de políticas Child Safeguarding</t>
  </si>
  <si>
    <t xml:space="preserve">Documento revisado y firmado</t>
  </si>
  <si>
    <t xml:space="preserve">Permanente</t>
  </si>
  <si>
    <t xml:space="preserve">Dirección de oración en reuniones de los tres</t>
  </si>
  <si>
    <t xml:space="preserve">Cada reunión semanal/quincenal/mensual</t>
  </si>
  <si>
    <t xml:space="preserve">1 hr/sem</t>
  </si>
  <si>
    <t xml:space="preserve">Acompañamiento pastoral del equipo</t>
  </si>
  <si>
    <t xml:space="preserve">Acompañamiento pastoral a Marcos y Alfredo</t>
  </si>
  <si>
    <t xml:space="preserve">Disponibilidad continua</t>
  </si>
  <si>
    <t xml:space="preserve">Variable</t>
  </si>
  <si>
    <t xml:space="preserve">En momentos de presión o discernimiento</t>
  </si>
  <si>
    <t xml:space="preserve">ALFREDO — Dirección Académica y Contenido</t>
  </si>
  <si>
    <t xml:space="preserve">Inventario de herramientas AI por nivel</t>
  </si>
  <si>
    <t xml:space="preserve">Lista detallada de las 6 habilidades con tools</t>
  </si>
  <si>
    <t xml:space="preserve">Versión inicial</t>
  </si>
  <si>
    <t xml:space="preserve">Investigación de plataformas LMS</t>
  </si>
  <si>
    <t xml:space="preserve">Recomendación final con costo y razones</t>
  </si>
  <si>
    <t xml:space="preserve">Comparar 4-5 opciones</t>
  </si>
  <si>
    <t xml:space="preserve">Estructura inicial del syllabus por los 3 niveles</t>
  </si>
  <si>
    <t xml:space="preserve">Esquema general del año académico</t>
  </si>
  <si>
    <t xml:space="preserve">Basado en currículo existente</t>
  </si>
  <si>
    <t xml:space="preserve">Configuración técnica de plataforma LMS</t>
  </si>
  <si>
    <t xml:space="preserve">LMS instalado y configurado</t>
  </si>
  <si>
    <t xml:space="preserve">Setup, dominio, certificados</t>
  </si>
  <si>
    <t xml:space="preserve">Estructura de cursos para los tres niveles en LMS</t>
  </si>
  <si>
    <t xml:space="preserve">Carpetas, módulos, lecciones vacías creadas</t>
  </si>
  <si>
    <t xml:space="preserve">Esqueleto del año académico</t>
  </si>
  <si>
    <t xml:space="preserve">Primer video educativo de prueba</t>
  </si>
  <si>
    <t xml:space="preserve">Video 10-15 min de una habilidad concreta</t>
  </si>
  <si>
    <t xml:space="preserve">Calibrar formato y calidad</t>
  </si>
  <si>
    <t xml:space="preserve">Detallado del Trimestre 1 Nivel 1 (Verde)</t>
  </si>
  <si>
    <t xml:space="preserve">Material listo para enseñar</t>
  </si>
  <si>
    <t xml:space="preserve">Detallado del Trimestre 1 Nivel 2 (Ámbar)</t>
  </si>
  <si>
    <t xml:space="preserve">Detallado del Trimestre 1 Nivel 3 (Oro)</t>
  </si>
  <si>
    <t xml:space="preserve">Énfasis en BAM y freelance</t>
  </si>
  <si>
    <t xml:space="preserve">Universidad Virtual v0.9 funcional</t>
  </si>
  <si>
    <t xml:space="preserve">Plataforma con primer trimestre del Nivel 1 cargado</t>
  </si>
  <si>
    <t xml:space="preserve">Lista para que el coordinador acceda</t>
  </si>
  <si>
    <t xml:space="preserve">Plan de capacitación técnica del Coordinador Local</t>
  </si>
  <si>
    <t xml:space="preserve">Documento con plan de 4 semanas</t>
  </si>
  <si>
    <t xml:space="preserve">Para Mes 4 del playbook</t>
  </si>
  <si>
    <t xml:space="preserve">Apoyo en aplicación AWS Imagine (componente técnico)</t>
  </si>
  <si>
    <t xml:space="preserve">Sección técnica del proposal</t>
  </si>
  <si>
    <t xml:space="preserve">MARCOS — Dirección Ejecutiva y Organización</t>
  </si>
  <si>
    <t xml:space="preserve">Contratar abogado especializado</t>
  </si>
  <si>
    <t xml:space="preserve">Engagement letter firmado</t>
  </si>
  <si>
    <t xml:space="preserve">Florida Bar, ECFA, NCF para referidos</t>
  </si>
  <si>
    <t xml:space="preserve">Constituir 501(c)(3) Refugio Digital Foundation</t>
  </si>
  <si>
    <t xml:space="preserve">Articles + Bylaws + EIN + Form 1023 enviado</t>
  </si>
  <si>
    <t xml:space="preserve">20-30 hrs</t>
  </si>
  <si>
    <t xml:space="preserve">Trabajo con abogado</t>
  </si>
  <si>
    <t xml:space="preserve">Constituir LLC Refugio Digital Enterprises</t>
  </si>
  <si>
    <t xml:space="preserve">Articles + Operating Agreement con 3 clases + EIN</t>
  </si>
  <si>
    <t xml:space="preserve">15-20 hrs</t>
  </si>
  <si>
    <t xml:space="preserve">Las clases A/B/C + Reserve</t>
  </si>
  <si>
    <t xml:space="preserve">Identificar Junta Directiva inicial (5+ personas)</t>
  </si>
  <si>
    <t xml:space="preserve">Lista confirmada con aceptaciones</t>
  </si>
  <si>
    <t xml:space="preserve">Apoyado por Pastor Javier</t>
  </si>
  <si>
    <t xml:space="preserve">Service Agreement entre Foundation y LLC</t>
  </si>
  <si>
    <t xml:space="preserve">Documento firmado</t>
  </si>
  <si>
    <t xml:space="preserve">Crítico para IRS</t>
  </si>
  <si>
    <t xml:space="preserve">Abrir cuentas bancarias separadas</t>
  </si>
  <si>
    <t xml:space="preserve">2 cuentas operativas</t>
  </si>
  <si>
    <t xml:space="preserve">Chase, BofA, ECCU o Thrivent</t>
  </si>
  <si>
    <t xml:space="preserve">Plan de cuentas + integración bancaria</t>
  </si>
  <si>
    <t xml:space="preserve">$59/mes</t>
  </si>
  <si>
    <t xml:space="preserve">Captación de donantes semilla — meta $30K-$50K</t>
  </si>
  <si>
    <t xml:space="preserve">Capital en cuenta</t>
  </si>
  <si>
    <t xml:space="preserve">Apoyado por los tres</t>
  </si>
  <si>
    <t xml:space="preserve">Sitio web v1 publicado</t>
  </si>
  <si>
    <t xml:space="preserve">refugiodigital.org operativo con donate</t>
  </si>
  <si>
    <t xml:space="preserve">Lovable o Bolt</t>
  </si>
  <si>
    <t xml:space="preserve">Comprar dominios y reservar handles redes</t>
  </si>
  <si>
    <t xml:space="preserve">Dominios y handles asegurados</t>
  </si>
  <si>
    <t xml:space="preserve">2-4 hrs</t>
  </si>
  <si>
    <t xml:space="preserve">$50-80 año</t>
  </si>
  <si>
    <t xml:space="preserve">Aplicar a Google/Microsoft/OpenAI/Anthropic for Nonprofits</t>
  </si>
  <si>
    <t xml:space="preserve">4 aplicaciones enviadas</t>
  </si>
  <si>
    <t xml:space="preserve">Todas gratis</t>
  </si>
  <si>
    <t xml:space="preserve">Lista de hardware finalizada y compras iniciadas</t>
  </si>
  <si>
    <t xml:space="preserve">Hardware en proceso de compra y envío</t>
  </si>
  <si>
    <t xml:space="preserve">$14K-$19K total</t>
  </si>
  <si>
    <t xml:space="preserve">Búsqueda inicial del Coordinador Local en Haití</t>
  </si>
  <si>
    <t xml:space="preserve">3-5 candidatos identificados</t>
  </si>
  <si>
    <t xml:space="preserve">Borrador de Child Safeguarding policies</t>
  </si>
  <si>
    <t xml:space="preserve">Documento completo firmado</t>
  </si>
  <si>
    <t xml:space="preserve">LOI a Tyndale Foundation enviada (deadline 2 julio)</t>
  </si>
  <si>
    <t xml:space="preserve">Aplicación completa enviada</t>
  </si>
  <si>
    <t xml:space="preserve">Crítico, no perder deadline</t>
  </si>
  <si>
    <t xml:space="preserve">Investigación AWS Imagine Pathfinder</t>
  </si>
  <si>
    <t xml:space="preserve">Borrador de Round 1 application</t>
  </si>
  <si>
    <t xml:space="preserve">Cuando AWS lo abra</t>
  </si>
  <si>
    <t xml:space="preserve">Facilitar todas las reuniones de los tres</t>
  </si>
  <si>
    <t xml:space="preserve">Cada reunión coordinada + minuta</t>
  </si>
  <si>
    <t xml:space="preserve">2-3 hrs/sem</t>
  </si>
  <si>
    <t xml:space="preserve">Coordinación general</t>
  </si>
  <si>
    <t xml:space="preserve">Reportes mensuales a donantes individuales</t>
  </si>
  <si>
    <t xml:space="preserve">Email + foto + métricas + historia</t>
  </si>
  <si>
    <t xml:space="preserve">3-4 hrs/mes</t>
  </si>
  <si>
    <t xml:space="preserve">Empezar Mes 2</t>
  </si>
  <si>
    <t xml:space="preserve">PRESUPUESTO ESTIMADO — PRIMEROS 90 DÍAS</t>
  </si>
  <si>
    <t xml:space="preserve">Costos críticos para llegar al final del Mes 3 con todo lo necesario para lanzar.</t>
  </si>
  <si>
    <t xml:space="preserve">Categoría</t>
  </si>
  <si>
    <t xml:space="preserve">Item</t>
  </si>
  <si>
    <t xml:space="preserve">Costo USD</t>
  </si>
  <si>
    <t xml:space="preserve">Legal</t>
  </si>
  <si>
    <t xml:space="preserve">Honorarios abogado (501c3 + LLC + agreements)</t>
  </si>
  <si>
    <t xml:space="preserve">$2.5K-$5K rango</t>
  </si>
  <si>
    <t xml:space="preserve">Articles of Incorporation (Nonprofit)</t>
  </si>
  <si>
    <t xml:space="preserve">Florida Department of State</t>
  </si>
  <si>
    <t xml:space="preserve">Articles of Organization (LLC)</t>
  </si>
  <si>
    <t xml:space="preserve">Form 1023 (501c3 application)</t>
  </si>
  <si>
    <t xml:space="preserve">IRS</t>
  </si>
  <si>
    <t xml:space="preserve">Reserva nombre Florida</t>
  </si>
  <si>
    <t xml:space="preserve">sunbiz.org</t>
  </si>
  <si>
    <t xml:space="preserve">Operacional</t>
  </si>
  <si>
    <t xml:space="preserve">Aplos contabilidad (3 meses)</t>
  </si>
  <si>
    <t xml:space="preserve">Dominios (refugiodigital.org/com/net)</t>
  </si>
  <si>
    <t xml:space="preserve">1 año</t>
  </si>
  <si>
    <t xml:space="preserve">Hosting + sitio web v1</t>
  </si>
  <si>
    <t xml:space="preserve">Lovable Pro o similar</t>
  </si>
  <si>
    <t xml:space="preserve">DonorBox + Stripe (sin costo fijo)</t>
  </si>
  <si>
    <t xml:space="preserve">Solo % por transacción</t>
  </si>
  <si>
    <t xml:space="preserve">LMS plataforma (3 meses)</t>
  </si>
  <si>
    <t xml:space="preserve">Mes 2-3</t>
  </si>
  <si>
    <t xml:space="preserve">Depende de elección</t>
  </si>
  <si>
    <t xml:space="preserve">Hardware</t>
  </si>
  <si>
    <t xml:space="preserve">15 Chromebooks Lenovo 100e</t>
  </si>
  <si>
    <t xml:space="preserve">$200 c/u</t>
  </si>
  <si>
    <t xml:space="preserve">1 MacBook Air M3 (instructor)</t>
  </si>
  <si>
    <t xml:space="preserve">Para producción</t>
  </si>
  <si>
    <t xml:space="preserve">2 Raspberry Pi 5 + accesorios</t>
  </si>
  <si>
    <t xml:space="preserve">Servidor local</t>
  </si>
  <si>
    <t xml:space="preserve">Discos duros 4TB x 2</t>
  </si>
  <si>
    <t xml:space="preserve">Backups</t>
  </si>
  <si>
    <t xml:space="preserve">Sistema solar 3kW + instalación</t>
  </si>
  <si>
    <t xml:space="preserve">Crítico Haití</t>
  </si>
  <si>
    <t xml:space="preserve">Starlink Mini residencial</t>
  </si>
  <si>
    <t xml:space="preserve">Equipo</t>
  </si>
  <si>
    <t xml:space="preserve">Starlink primer mes</t>
  </si>
  <si>
    <t xml:space="preserve">Servicio</t>
  </si>
  <si>
    <t xml:space="preserve">UPS x 2</t>
  </si>
  <si>
    <t xml:space="preserve">Protección equipos</t>
  </si>
  <si>
    <t xml:space="preserve">Auriculares USB x 20</t>
  </si>
  <si>
    <t xml:space="preserve">Para idiomas</t>
  </si>
  <si>
    <t xml:space="preserve">Mobiliario (mesas, sillas, estantería)</t>
  </si>
  <si>
    <t xml:space="preserve">Mes 3 o inicio Mes 4</t>
  </si>
  <si>
    <t xml:space="preserve">AC y ventilación</t>
  </si>
  <si>
    <t xml:space="preserve">Crítico para equipos</t>
  </si>
  <si>
    <t xml:space="preserve">Seguridad (rejas, cámaras)</t>
  </si>
  <si>
    <t xml:space="preserve">Proteger inversión</t>
  </si>
  <si>
    <t xml:space="preserve">Envío y aranceles a Haití (15% del hardware)</t>
  </si>
  <si>
    <t xml:space="preserve">Estimación</t>
  </si>
  <si>
    <t xml:space="preserve">Capacitación</t>
  </si>
  <si>
    <t xml:space="preserve">Background checks + entrenamiento child safeguarding</t>
  </si>
  <si>
    <t xml:space="preserve">MinistrySafe o equivalente</t>
  </si>
  <si>
    <t xml:space="preserve">Materiales del programa (libros, recursos)</t>
  </si>
  <si>
    <t xml:space="preserve">Inicial</t>
  </si>
  <si>
    <t xml:space="preserve">Contingencia 10%</t>
  </si>
  <si>
    <t xml:space="preserve">Calculada con fórmula</t>
  </si>
  <si>
    <t xml:space="preserve">SUBTOTAL</t>
  </si>
  <si>
    <t xml:space="preserve">TOTAL ESTIMADO 90 DÍAS</t>
  </si>
  <si>
    <t xml:space="preserve">NOTAS IMPORTANTES</t>
  </si>
  <si>
    <t xml:space="preserve">• Este presupuesto NO incluye salarios de los tres líderes (voluntariado en año 1).</t>
  </si>
  <si>
    <t xml:space="preserve">• El salario del Coordinador Local en Haití empieza en el Mes 4 — no incluido aquí.</t>
  </si>
  <si>
    <t xml:space="preserve">• Los costos del LMS pueden variar según la plataforma elegida por Alfredo.</t>
  </si>
  <si>
    <t xml:space="preserve">• El hardware puede ajustarse — empezar con menos Chromebooks si el presupuesto es ajustado.</t>
  </si>
  <si>
    <t xml:space="preserve">• La meta de captación de donantes semilla es $30K-$50K para cubrir esto + reserva inicial.</t>
  </si>
  <si>
    <t xml:space="preserve">• Si solo se logra $20K en captación, posponer hardware menos crítico al Mes 4-5.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</si>
</sst>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2B4A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4"/>
      <color rgb="FF1A2B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2"/>
      <color rgb="FF1A2B4A"/>
      <name val="Cambria"/>
      <family val="0"/>
      <charset val="1"/>
    </font>
    <font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5F1EA"/>
        <bgColor rgb="FFF2F2F2"/>
      </patternFill>
    </fill>
    <fill>
      <patternFill patternType="solid">
        <fgColor rgb="FF1A2B4A"/>
        <bgColor rgb="FF003366"/>
      </patternFill>
    </fill>
    <fill>
      <patternFill patternType="solid">
        <fgColor rgb="FFF2F2F2"/>
        <bgColor rgb="FFF5F1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1EA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60" hidden="false" customHeight="tru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customFormat="false" ht="60" hidden="false" customHeight="true" outlineLevel="0" collapsed="false">
      <c r="A7" s="6" t="s">
        <v>17</v>
      </c>
      <c r="B7" s="6" t="s">
        <v>18</v>
      </c>
      <c r="C7" s="6" t="s">
        <v>19</v>
      </c>
      <c r="D7" s="6" t="s">
        <v>20</v>
      </c>
      <c r="E7" s="6" t="s">
        <v>14</v>
      </c>
      <c r="F7" s="6" t="s">
        <v>21</v>
      </c>
      <c r="G7" s="6" t="s">
        <v>22</v>
      </c>
    </row>
    <row r="8" customFormat="false" ht="60" hidden="false" customHeight="true" outlineLevel="0" collapsed="false">
      <c r="A8" s="5" t="s">
        <v>23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22</v>
      </c>
    </row>
    <row r="10" customFormat="false" ht="24" hidden="false" customHeight="true" outlineLevel="0" collapsed="false">
      <c r="A10" s="3" t="s">
        <v>29</v>
      </c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4" t="s">
        <v>30</v>
      </c>
      <c r="B11" s="4" t="s">
        <v>31</v>
      </c>
      <c r="C11" s="4" t="s">
        <v>32</v>
      </c>
      <c r="D11" s="4" t="s">
        <v>33</v>
      </c>
    </row>
    <row r="12" customFormat="false" ht="21.75" hidden="false" customHeight="true" outlineLevel="0" collapsed="false">
      <c r="A12" s="5" t="s">
        <v>34</v>
      </c>
      <c r="B12" s="5" t="s">
        <v>35</v>
      </c>
      <c r="C12" s="5" t="s">
        <v>36</v>
      </c>
      <c r="D12" s="5" t="s">
        <v>37</v>
      </c>
    </row>
    <row r="13" customFormat="false" ht="21.75" hidden="false" customHeight="true" outlineLevel="0" collapsed="false">
      <c r="A13" s="6" t="s">
        <v>27</v>
      </c>
      <c r="B13" s="6" t="s">
        <v>35</v>
      </c>
      <c r="C13" s="6" t="s">
        <v>37</v>
      </c>
      <c r="D13" s="6" t="s">
        <v>38</v>
      </c>
    </row>
    <row r="14" customFormat="false" ht="21.75" hidden="false" customHeight="true" outlineLevel="0" collapsed="false">
      <c r="A14" s="5" t="s">
        <v>14</v>
      </c>
      <c r="B14" s="5" t="s">
        <v>38</v>
      </c>
      <c r="C14" s="5" t="s">
        <v>38</v>
      </c>
      <c r="D14" s="5" t="s">
        <v>37</v>
      </c>
    </row>
    <row r="16" customFormat="false" ht="24" hidden="false" customHeight="true" outlineLevel="0" collapsed="false">
      <c r="A16" s="3" t="s">
        <v>39</v>
      </c>
      <c r="B16" s="3"/>
      <c r="C16" s="3"/>
      <c r="D16" s="3"/>
      <c r="E16" s="3"/>
      <c r="F16" s="3"/>
      <c r="G16" s="3"/>
    </row>
    <row r="17" customFormat="false" ht="27.75" hidden="false" customHeight="true" outlineLevel="0" collapsed="false">
      <c r="A17" s="4" t="s">
        <v>40</v>
      </c>
      <c r="B17" s="4" t="s">
        <v>41</v>
      </c>
      <c r="C17" s="4" t="s">
        <v>42</v>
      </c>
      <c r="D17" s="4" t="s">
        <v>43</v>
      </c>
    </row>
    <row r="18" customFormat="false" ht="24" hidden="false" customHeight="true" outlineLevel="0" collapsed="false">
      <c r="A18" s="5" t="s">
        <v>44</v>
      </c>
      <c r="B18" s="5" t="s">
        <v>45</v>
      </c>
      <c r="C18" s="5" t="s">
        <v>46</v>
      </c>
      <c r="D18" s="5" t="s">
        <v>47</v>
      </c>
    </row>
    <row r="19" customFormat="false" ht="24" hidden="false" customHeight="true" outlineLevel="0" collapsed="false">
      <c r="A19" s="6" t="s">
        <v>48</v>
      </c>
      <c r="B19" s="6" t="s">
        <v>49</v>
      </c>
      <c r="C19" s="6" t="s">
        <v>50</v>
      </c>
      <c r="D19" s="6" t="s">
        <v>51</v>
      </c>
    </row>
    <row r="20" customFormat="false" ht="24" hidden="false" customHeight="true" outlineLevel="0" collapsed="false">
      <c r="A20" s="5" t="s">
        <v>52</v>
      </c>
      <c r="B20" s="5" t="s">
        <v>53</v>
      </c>
      <c r="C20" s="5" t="s">
        <v>54</v>
      </c>
      <c r="D20" s="5" t="s">
        <v>55</v>
      </c>
    </row>
    <row r="22" customFormat="false" ht="24" hidden="false" customHeight="true" outlineLevel="0" collapsed="false">
      <c r="A22" s="3" t="s">
        <v>56</v>
      </c>
      <c r="B22" s="3"/>
      <c r="C22" s="3"/>
      <c r="D22" s="3"/>
      <c r="E22" s="3"/>
      <c r="F22" s="3"/>
      <c r="G22" s="3"/>
    </row>
    <row r="23" customFormat="false" ht="26.85" hidden="false" customHeight="false" outlineLevel="0" collapsed="false">
      <c r="A23" s="4" t="s">
        <v>57</v>
      </c>
      <c r="B23" s="4" t="s">
        <v>58</v>
      </c>
      <c r="C23" s="4" t="s">
        <v>59</v>
      </c>
      <c r="D23" s="4" t="s">
        <v>60</v>
      </c>
    </row>
    <row r="24" customFormat="false" ht="21.75" hidden="false" customHeight="true" outlineLevel="0" collapsed="false">
      <c r="A24" s="5" t="n">
        <v>1</v>
      </c>
      <c r="B24" s="5" t="s">
        <v>61</v>
      </c>
      <c r="C24" s="5" t="s">
        <v>14</v>
      </c>
      <c r="D24" s="5" t="s">
        <v>62</v>
      </c>
    </row>
    <row r="25" customFormat="false" ht="21.75" hidden="false" customHeight="true" outlineLevel="0" collapsed="false">
      <c r="A25" s="6" t="n">
        <v>2</v>
      </c>
      <c r="B25" s="6" t="s">
        <v>63</v>
      </c>
      <c r="C25" s="6" t="s">
        <v>14</v>
      </c>
      <c r="D25" s="6" t="s">
        <v>62</v>
      </c>
    </row>
    <row r="26" customFormat="false" ht="21.75" hidden="false" customHeight="true" outlineLevel="0" collapsed="false">
      <c r="A26" s="5" t="n">
        <v>3</v>
      </c>
      <c r="B26" s="5" t="s">
        <v>64</v>
      </c>
      <c r="C26" s="5" t="s">
        <v>14</v>
      </c>
      <c r="D26" s="5" t="s">
        <v>62</v>
      </c>
    </row>
    <row r="27" customFormat="false" ht="21.75" hidden="false" customHeight="true" outlineLevel="0" collapsed="false">
      <c r="A27" s="6" t="n">
        <v>4</v>
      </c>
      <c r="B27" s="6" t="s">
        <v>65</v>
      </c>
      <c r="C27" s="6" t="s">
        <v>66</v>
      </c>
      <c r="D27" s="6" t="s">
        <v>62</v>
      </c>
    </row>
    <row r="28" customFormat="false" ht="21.75" hidden="false" customHeight="true" outlineLevel="0" collapsed="false">
      <c r="A28" s="5" t="n">
        <v>5</v>
      </c>
      <c r="B28" s="5" t="s">
        <v>67</v>
      </c>
      <c r="C28" s="5" t="s">
        <v>14</v>
      </c>
      <c r="D28" s="5" t="s">
        <v>62</v>
      </c>
    </row>
    <row r="29" customFormat="false" ht="21.75" hidden="false" customHeight="true" outlineLevel="0" collapsed="false">
      <c r="A29" s="6" t="n">
        <v>6</v>
      </c>
      <c r="B29" s="6" t="s">
        <v>68</v>
      </c>
      <c r="C29" s="6" t="s">
        <v>69</v>
      </c>
      <c r="D29" s="6" t="s">
        <v>62</v>
      </c>
    </row>
    <row r="30" customFormat="false" ht="21.75" hidden="false" customHeight="true" outlineLevel="0" collapsed="false">
      <c r="A30" s="5" t="n">
        <v>7</v>
      </c>
      <c r="B30" s="5" t="s">
        <v>70</v>
      </c>
      <c r="C30" s="5" t="s">
        <v>27</v>
      </c>
      <c r="D30" s="5" t="s">
        <v>62</v>
      </c>
    </row>
    <row r="31" customFormat="false" ht="21.75" hidden="false" customHeight="true" outlineLevel="0" collapsed="false">
      <c r="A31" s="6" t="n">
        <v>8</v>
      </c>
      <c r="B31" s="6" t="s">
        <v>71</v>
      </c>
      <c r="C31" s="6" t="s">
        <v>14</v>
      </c>
      <c r="D31" s="6" t="s">
        <v>62</v>
      </c>
    </row>
    <row r="32" customFormat="false" ht="21.75" hidden="false" customHeight="true" outlineLevel="0" collapsed="false">
      <c r="A32" s="5" t="n">
        <v>9</v>
      </c>
      <c r="B32" s="5" t="s">
        <v>72</v>
      </c>
      <c r="C32" s="5" t="s">
        <v>73</v>
      </c>
      <c r="D32" s="5" t="s">
        <v>62</v>
      </c>
    </row>
    <row r="33" customFormat="false" ht="21.75" hidden="false" customHeight="true" outlineLevel="0" collapsed="false">
      <c r="A33" s="6" t="n">
        <v>10</v>
      </c>
      <c r="B33" s="6" t="s">
        <v>74</v>
      </c>
      <c r="C33" s="6" t="s">
        <v>34</v>
      </c>
      <c r="D33" s="6" t="s">
        <v>62</v>
      </c>
    </row>
    <row r="34" customFormat="false" ht="21.75" hidden="false" customHeight="true" outlineLevel="0" collapsed="false">
      <c r="A34" s="5" t="n">
        <v>11</v>
      </c>
      <c r="B34" s="5" t="s">
        <v>75</v>
      </c>
      <c r="C34" s="5" t="s">
        <v>14</v>
      </c>
      <c r="D34" s="5" t="s">
        <v>62</v>
      </c>
    </row>
    <row r="35" customFormat="false" ht="21.75" hidden="false" customHeight="true" outlineLevel="0" collapsed="false">
      <c r="A35" s="6" t="n">
        <v>12</v>
      </c>
      <c r="B35" s="6" t="s">
        <v>76</v>
      </c>
      <c r="C35" s="6" t="s">
        <v>77</v>
      </c>
      <c r="D35" s="6" t="s">
        <v>62</v>
      </c>
    </row>
  </sheetData>
  <mergeCells count="6">
    <mergeCell ref="A1:G1"/>
    <mergeCell ref="A2:G2"/>
    <mergeCell ref="A4:G4"/>
    <mergeCell ref="A10:G10"/>
    <mergeCell ref="A16:G16"/>
    <mergeCell ref="A22:G2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7" t="s">
        <v>79</v>
      </c>
      <c r="B2" s="7"/>
      <c r="C2" s="7"/>
      <c r="D2" s="7"/>
      <c r="E2" s="7"/>
      <c r="F2" s="7"/>
      <c r="G2" s="7"/>
      <c r="H2" s="7"/>
    </row>
    <row r="4" customFormat="false" ht="31.5" hidden="false" customHeight="true" outlineLevel="0" collapsed="false">
      <c r="A4" s="4" t="s">
        <v>80</v>
      </c>
      <c r="B4" s="4" t="s">
        <v>81</v>
      </c>
      <c r="C4" s="4" t="s">
        <v>30</v>
      </c>
      <c r="D4" s="4" t="s">
        <v>8</v>
      </c>
      <c r="E4" s="4" t="s">
        <v>82</v>
      </c>
      <c r="F4" s="4" t="s">
        <v>83</v>
      </c>
      <c r="G4" s="4" t="s">
        <v>9</v>
      </c>
      <c r="H4" s="4" t="s">
        <v>84</v>
      </c>
    </row>
    <row r="5" customFormat="false" ht="36" hidden="false" customHeight="true" outlineLevel="0" collapsed="false">
      <c r="A5" s="6" t="s">
        <v>85</v>
      </c>
      <c r="B5" s="6" t="s">
        <v>86</v>
      </c>
      <c r="C5" s="6" t="s">
        <v>14</v>
      </c>
      <c r="D5" s="6" t="s">
        <v>87</v>
      </c>
      <c r="E5" s="6" t="s">
        <v>88</v>
      </c>
      <c r="F5" s="6" t="s">
        <v>88</v>
      </c>
      <c r="G5" s="6" t="s">
        <v>22</v>
      </c>
      <c r="H5" s="6" t="s">
        <v>89</v>
      </c>
    </row>
    <row r="6" customFormat="false" ht="36" hidden="false" customHeight="true" outlineLevel="0" collapsed="false">
      <c r="A6" s="5" t="s">
        <v>85</v>
      </c>
      <c r="B6" s="5" t="s">
        <v>90</v>
      </c>
      <c r="C6" s="5" t="s">
        <v>14</v>
      </c>
      <c r="D6" s="5" t="s">
        <v>91</v>
      </c>
      <c r="E6" s="5" t="s">
        <v>88</v>
      </c>
      <c r="F6" s="5" t="s">
        <v>92</v>
      </c>
      <c r="G6" s="5" t="s">
        <v>22</v>
      </c>
      <c r="H6" s="5" t="s">
        <v>93</v>
      </c>
    </row>
    <row r="7" customFormat="false" ht="36" hidden="false" customHeight="true" outlineLevel="0" collapsed="false">
      <c r="A7" s="6" t="s">
        <v>85</v>
      </c>
      <c r="B7" s="6" t="s">
        <v>94</v>
      </c>
      <c r="C7" s="6" t="s">
        <v>14</v>
      </c>
      <c r="D7" s="6" t="s">
        <v>91</v>
      </c>
      <c r="E7" s="6" t="s">
        <v>95</v>
      </c>
      <c r="F7" s="6" t="s">
        <v>95</v>
      </c>
      <c r="G7" s="6" t="s">
        <v>22</v>
      </c>
      <c r="H7" s="6" t="s">
        <v>96</v>
      </c>
    </row>
    <row r="8" customFormat="false" ht="36" hidden="false" customHeight="true" outlineLevel="0" collapsed="false">
      <c r="A8" s="5" t="s">
        <v>85</v>
      </c>
      <c r="B8" s="5" t="s">
        <v>97</v>
      </c>
      <c r="C8" s="5" t="s">
        <v>34</v>
      </c>
      <c r="D8" s="5" t="s">
        <v>98</v>
      </c>
      <c r="E8" s="5" t="s">
        <v>88</v>
      </c>
      <c r="F8" s="5" t="s">
        <v>99</v>
      </c>
      <c r="G8" s="5" t="s">
        <v>22</v>
      </c>
      <c r="H8" s="5" t="s">
        <v>100</v>
      </c>
    </row>
    <row r="9" customFormat="false" ht="36" hidden="false" customHeight="true" outlineLevel="0" collapsed="false">
      <c r="A9" s="6" t="s">
        <v>85</v>
      </c>
      <c r="B9" s="6" t="s">
        <v>101</v>
      </c>
      <c r="C9" s="6" t="s">
        <v>27</v>
      </c>
      <c r="D9" s="6" t="s">
        <v>91</v>
      </c>
      <c r="E9" s="6" t="s">
        <v>88</v>
      </c>
      <c r="F9" s="6" t="s">
        <v>99</v>
      </c>
      <c r="G9" s="6" t="s">
        <v>22</v>
      </c>
      <c r="H9" s="6" t="s">
        <v>102</v>
      </c>
    </row>
    <row r="10" customFormat="false" ht="36" hidden="false" customHeight="true" outlineLevel="0" collapsed="false">
      <c r="A10" s="5" t="s">
        <v>103</v>
      </c>
      <c r="B10" s="5" t="s">
        <v>104</v>
      </c>
      <c r="C10" s="5" t="s">
        <v>14</v>
      </c>
      <c r="D10" s="5" t="s">
        <v>91</v>
      </c>
      <c r="E10" s="5" t="s">
        <v>105</v>
      </c>
      <c r="F10" s="5" t="s">
        <v>106</v>
      </c>
      <c r="G10" s="5" t="s">
        <v>22</v>
      </c>
      <c r="H10" s="5" t="s">
        <v>107</v>
      </c>
    </row>
    <row r="11" customFormat="false" ht="36" hidden="false" customHeight="true" outlineLevel="0" collapsed="false">
      <c r="A11" s="6" t="s">
        <v>103</v>
      </c>
      <c r="B11" s="6" t="s">
        <v>108</v>
      </c>
      <c r="C11" s="6" t="s">
        <v>109</v>
      </c>
      <c r="D11" s="6" t="s">
        <v>91</v>
      </c>
      <c r="E11" s="6" t="s">
        <v>105</v>
      </c>
      <c r="F11" s="6" t="s">
        <v>110</v>
      </c>
      <c r="G11" s="6" t="s">
        <v>22</v>
      </c>
      <c r="H11" s="6" t="s">
        <v>111</v>
      </c>
    </row>
    <row r="12" customFormat="false" ht="36" hidden="false" customHeight="true" outlineLevel="0" collapsed="false">
      <c r="A12" s="5" t="s">
        <v>103</v>
      </c>
      <c r="B12" s="5" t="s">
        <v>112</v>
      </c>
      <c r="C12" s="5" t="s">
        <v>109</v>
      </c>
      <c r="D12" s="5" t="s">
        <v>91</v>
      </c>
      <c r="E12" s="5" t="s">
        <v>105</v>
      </c>
      <c r="F12" s="5" t="s">
        <v>110</v>
      </c>
      <c r="G12" s="5" t="s">
        <v>22</v>
      </c>
      <c r="H12" s="5" t="s">
        <v>113</v>
      </c>
    </row>
    <row r="13" customFormat="false" ht="36" hidden="false" customHeight="true" outlineLevel="0" collapsed="false">
      <c r="A13" s="6" t="s">
        <v>103</v>
      </c>
      <c r="B13" s="6" t="s">
        <v>114</v>
      </c>
      <c r="C13" s="6" t="s">
        <v>14</v>
      </c>
      <c r="D13" s="6" t="s">
        <v>91</v>
      </c>
      <c r="E13" s="6" t="s">
        <v>110</v>
      </c>
      <c r="F13" s="6" t="s">
        <v>115</v>
      </c>
      <c r="G13" s="6" t="s">
        <v>22</v>
      </c>
      <c r="H13" s="6" t="s">
        <v>116</v>
      </c>
    </row>
    <row r="14" customFormat="false" ht="36" hidden="false" customHeight="true" outlineLevel="0" collapsed="false">
      <c r="A14" s="5" t="s">
        <v>103</v>
      </c>
      <c r="B14" s="5" t="s">
        <v>117</v>
      </c>
      <c r="C14" s="5" t="s">
        <v>34</v>
      </c>
      <c r="D14" s="5" t="s">
        <v>87</v>
      </c>
      <c r="E14" s="5" t="s">
        <v>105</v>
      </c>
      <c r="F14" s="5" t="s">
        <v>118</v>
      </c>
      <c r="G14" s="5" t="s">
        <v>22</v>
      </c>
      <c r="H14" s="5" t="s">
        <v>119</v>
      </c>
    </row>
    <row r="15" customFormat="false" ht="36" hidden="false" customHeight="true" outlineLevel="0" collapsed="false">
      <c r="A15" s="6" t="s">
        <v>103</v>
      </c>
      <c r="B15" s="6" t="s">
        <v>120</v>
      </c>
      <c r="C15" s="6" t="s">
        <v>27</v>
      </c>
      <c r="D15" s="6" t="s">
        <v>91</v>
      </c>
      <c r="E15" s="6" t="s">
        <v>105</v>
      </c>
      <c r="F15" s="6" t="s">
        <v>118</v>
      </c>
      <c r="G15" s="6" t="s">
        <v>22</v>
      </c>
      <c r="H15" s="6" t="s">
        <v>121</v>
      </c>
    </row>
    <row r="16" customFormat="false" ht="36" hidden="false" customHeight="true" outlineLevel="0" collapsed="false">
      <c r="A16" s="5" t="s">
        <v>122</v>
      </c>
      <c r="B16" s="5" t="s">
        <v>123</v>
      </c>
      <c r="C16" s="5" t="s">
        <v>124</v>
      </c>
      <c r="D16" s="5" t="s">
        <v>125</v>
      </c>
      <c r="E16" s="5" t="s">
        <v>126</v>
      </c>
      <c r="F16" s="5" t="s">
        <v>127</v>
      </c>
      <c r="G16" s="5" t="s">
        <v>22</v>
      </c>
      <c r="H16" s="5" t="s">
        <v>128</v>
      </c>
    </row>
    <row r="17" customFormat="false" ht="36" hidden="false" customHeight="true" outlineLevel="0" collapsed="false">
      <c r="A17" s="6" t="s">
        <v>122</v>
      </c>
      <c r="B17" s="6" t="s">
        <v>129</v>
      </c>
      <c r="C17" s="6" t="s">
        <v>124</v>
      </c>
      <c r="D17" s="6" t="s">
        <v>130</v>
      </c>
      <c r="E17" s="6" t="s">
        <v>126</v>
      </c>
      <c r="F17" s="6" t="s">
        <v>127</v>
      </c>
      <c r="G17" s="6" t="s">
        <v>22</v>
      </c>
      <c r="H17" s="6" t="s">
        <v>131</v>
      </c>
    </row>
    <row r="18" customFormat="false" ht="36" hidden="false" customHeight="true" outlineLevel="0" collapsed="false">
      <c r="A18" s="5" t="s">
        <v>122</v>
      </c>
      <c r="B18" s="5" t="s">
        <v>132</v>
      </c>
      <c r="C18" s="5" t="s">
        <v>14</v>
      </c>
      <c r="D18" s="5" t="s">
        <v>133</v>
      </c>
      <c r="E18" s="5" t="s">
        <v>126</v>
      </c>
      <c r="F18" s="5" t="s">
        <v>127</v>
      </c>
      <c r="G18" s="5" t="s">
        <v>22</v>
      </c>
      <c r="H18" s="5" t="s">
        <v>134</v>
      </c>
    </row>
    <row r="19" customFormat="false" ht="36" hidden="false" customHeight="true" outlineLevel="0" collapsed="false">
      <c r="A19" s="6" t="s">
        <v>122</v>
      </c>
      <c r="B19" s="6" t="s">
        <v>135</v>
      </c>
      <c r="C19" s="6" t="s">
        <v>136</v>
      </c>
      <c r="D19" s="6" t="s">
        <v>87</v>
      </c>
      <c r="E19" s="6" t="s">
        <v>127</v>
      </c>
      <c r="F19" s="6" t="s">
        <v>127</v>
      </c>
      <c r="G19" s="6" t="s">
        <v>22</v>
      </c>
      <c r="H19" s="6" t="s">
        <v>137</v>
      </c>
    </row>
    <row r="20" customFormat="false" ht="36" hidden="false" customHeight="true" outlineLevel="0" collapsed="false">
      <c r="A20" s="5" t="s">
        <v>122</v>
      </c>
      <c r="B20" s="5" t="s">
        <v>138</v>
      </c>
      <c r="C20" s="5" t="s">
        <v>27</v>
      </c>
      <c r="D20" s="5" t="s">
        <v>139</v>
      </c>
      <c r="E20" s="5" t="s">
        <v>126</v>
      </c>
      <c r="F20" s="5" t="s">
        <v>127</v>
      </c>
      <c r="G20" s="5" t="s">
        <v>22</v>
      </c>
      <c r="H20" s="5" t="s">
        <v>140</v>
      </c>
    </row>
    <row r="21" customFormat="false" ht="36" hidden="false" customHeight="true" outlineLevel="0" collapsed="false">
      <c r="A21" s="6" t="s">
        <v>141</v>
      </c>
      <c r="B21" s="6" t="s">
        <v>142</v>
      </c>
      <c r="C21" s="6" t="s">
        <v>14</v>
      </c>
      <c r="D21" s="6" t="s">
        <v>143</v>
      </c>
      <c r="E21" s="6" t="s">
        <v>144</v>
      </c>
      <c r="F21" s="6" t="s">
        <v>145</v>
      </c>
      <c r="G21" s="6" t="s">
        <v>22</v>
      </c>
      <c r="H21" s="6" t="s">
        <v>146</v>
      </c>
    </row>
    <row r="22" customFormat="false" ht="36" hidden="false" customHeight="true" outlineLevel="0" collapsed="false">
      <c r="A22" s="5" t="s">
        <v>141</v>
      </c>
      <c r="B22" s="5" t="s">
        <v>147</v>
      </c>
      <c r="C22" s="5" t="s">
        <v>109</v>
      </c>
      <c r="D22" s="5" t="s">
        <v>91</v>
      </c>
      <c r="E22" s="5" t="s">
        <v>144</v>
      </c>
      <c r="F22" s="5" t="s">
        <v>148</v>
      </c>
      <c r="G22" s="5" t="s">
        <v>22</v>
      </c>
      <c r="H22" s="5" t="s">
        <v>149</v>
      </c>
    </row>
    <row r="23" customFormat="false" ht="36" hidden="false" customHeight="true" outlineLevel="0" collapsed="false">
      <c r="A23" s="6" t="s">
        <v>141</v>
      </c>
      <c r="B23" s="6" t="s">
        <v>150</v>
      </c>
      <c r="C23" s="6" t="s">
        <v>124</v>
      </c>
      <c r="D23" s="6" t="s">
        <v>125</v>
      </c>
      <c r="E23" s="6" t="s">
        <v>144</v>
      </c>
      <c r="F23" s="6" t="s">
        <v>148</v>
      </c>
      <c r="G23" s="6" t="s">
        <v>22</v>
      </c>
      <c r="H23" s="6" t="s">
        <v>151</v>
      </c>
    </row>
    <row r="24" customFormat="false" ht="36" hidden="false" customHeight="true" outlineLevel="0" collapsed="false">
      <c r="A24" s="5" t="s">
        <v>141</v>
      </c>
      <c r="B24" s="5" t="s">
        <v>152</v>
      </c>
      <c r="C24" s="5" t="s">
        <v>73</v>
      </c>
      <c r="D24" s="5" t="s">
        <v>91</v>
      </c>
      <c r="E24" s="5" t="s">
        <v>144</v>
      </c>
      <c r="F24" s="5" t="s">
        <v>148</v>
      </c>
      <c r="G24" s="5" t="s">
        <v>22</v>
      </c>
      <c r="H24" s="5" t="s">
        <v>153</v>
      </c>
    </row>
    <row r="25" customFormat="false" ht="36" hidden="false" customHeight="true" outlineLevel="0" collapsed="false">
      <c r="A25" s="6" t="s">
        <v>141</v>
      </c>
      <c r="B25" s="6" t="s">
        <v>154</v>
      </c>
      <c r="C25" s="6" t="s">
        <v>27</v>
      </c>
      <c r="D25" s="6" t="s">
        <v>34</v>
      </c>
      <c r="E25" s="6" t="s">
        <v>144</v>
      </c>
      <c r="F25" s="6" t="s">
        <v>148</v>
      </c>
      <c r="G25" s="6" t="s">
        <v>22</v>
      </c>
      <c r="H25" s="6" t="s">
        <v>155</v>
      </c>
    </row>
    <row r="26" customFormat="false" ht="36" hidden="false" customHeight="true" outlineLevel="0" collapsed="false">
      <c r="A26" s="5" t="s">
        <v>141</v>
      </c>
      <c r="B26" s="5" t="s">
        <v>156</v>
      </c>
      <c r="C26" s="5" t="s">
        <v>136</v>
      </c>
      <c r="D26" s="5" t="s">
        <v>87</v>
      </c>
      <c r="E26" s="5" t="s">
        <v>145</v>
      </c>
      <c r="F26" s="5" t="s">
        <v>145</v>
      </c>
      <c r="G26" s="5" t="s">
        <v>22</v>
      </c>
      <c r="H26" s="5" t="s">
        <v>157</v>
      </c>
    </row>
    <row r="27" customFormat="false" ht="36" hidden="false" customHeight="true" outlineLevel="0" collapsed="false">
      <c r="A27" s="6" t="s">
        <v>141</v>
      </c>
      <c r="B27" s="6" t="s">
        <v>158</v>
      </c>
      <c r="C27" s="6" t="s">
        <v>14</v>
      </c>
      <c r="D27" s="6" t="s">
        <v>91</v>
      </c>
      <c r="E27" s="6" t="s">
        <v>159</v>
      </c>
      <c r="F27" s="6" t="s">
        <v>160</v>
      </c>
      <c r="G27" s="6" t="s">
        <v>22</v>
      </c>
      <c r="H27" s="6" t="s">
        <v>161</v>
      </c>
    </row>
  </sheetData>
  <mergeCells count="2">
    <mergeCell ref="A1:H1"/>
    <mergeCell ref="A2:H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7" t="s">
        <v>163</v>
      </c>
      <c r="B2" s="7"/>
      <c r="C2" s="7"/>
      <c r="D2" s="7"/>
      <c r="E2" s="7"/>
      <c r="F2" s="7"/>
      <c r="G2" s="7"/>
      <c r="H2" s="7"/>
    </row>
    <row r="4" customFormat="false" ht="31.5" hidden="false" customHeight="true" outlineLevel="0" collapsed="false">
      <c r="A4" s="4" t="s">
        <v>80</v>
      </c>
      <c r="B4" s="4" t="s">
        <v>81</v>
      </c>
      <c r="C4" s="4" t="s">
        <v>30</v>
      </c>
      <c r="D4" s="4" t="s">
        <v>8</v>
      </c>
      <c r="E4" s="4" t="s">
        <v>82</v>
      </c>
      <c r="F4" s="4" t="s">
        <v>83</v>
      </c>
      <c r="G4" s="4" t="s">
        <v>9</v>
      </c>
      <c r="H4" s="4" t="s">
        <v>84</v>
      </c>
    </row>
    <row r="5" customFormat="false" ht="36" hidden="false" customHeight="true" outlineLevel="0" collapsed="false">
      <c r="A5" s="6" t="s">
        <v>164</v>
      </c>
      <c r="B5" s="6" t="s">
        <v>165</v>
      </c>
      <c r="C5" s="6" t="s">
        <v>14</v>
      </c>
      <c r="D5" s="6" t="s">
        <v>91</v>
      </c>
      <c r="E5" s="6" t="s">
        <v>166</v>
      </c>
      <c r="F5" s="6" t="s">
        <v>167</v>
      </c>
      <c r="G5" s="6" t="s">
        <v>22</v>
      </c>
      <c r="H5" s="6" t="s">
        <v>168</v>
      </c>
    </row>
    <row r="6" customFormat="false" ht="36" hidden="false" customHeight="true" outlineLevel="0" collapsed="false">
      <c r="A6" s="5" t="s">
        <v>164</v>
      </c>
      <c r="B6" s="5" t="s">
        <v>169</v>
      </c>
      <c r="C6" s="5" t="s">
        <v>14</v>
      </c>
      <c r="D6" s="5" t="s">
        <v>91</v>
      </c>
      <c r="E6" s="5" t="s">
        <v>166</v>
      </c>
      <c r="F6" s="5" t="s">
        <v>170</v>
      </c>
      <c r="G6" s="5" t="s">
        <v>22</v>
      </c>
      <c r="H6" s="5" t="s">
        <v>171</v>
      </c>
    </row>
    <row r="7" customFormat="false" ht="36" hidden="false" customHeight="true" outlineLevel="0" collapsed="false">
      <c r="A7" s="6" t="s">
        <v>164</v>
      </c>
      <c r="B7" s="6" t="s">
        <v>172</v>
      </c>
      <c r="C7" s="6" t="s">
        <v>173</v>
      </c>
      <c r="D7" s="6" t="s">
        <v>174</v>
      </c>
      <c r="E7" s="6" t="s">
        <v>166</v>
      </c>
      <c r="F7" s="6" t="s">
        <v>170</v>
      </c>
      <c r="G7" s="6" t="s">
        <v>22</v>
      </c>
      <c r="H7" s="6" t="s">
        <v>175</v>
      </c>
    </row>
    <row r="8" customFormat="false" ht="36" hidden="false" customHeight="true" outlineLevel="0" collapsed="false">
      <c r="A8" s="5" t="s">
        <v>164</v>
      </c>
      <c r="B8" s="5" t="s">
        <v>176</v>
      </c>
      <c r="C8" s="5" t="s">
        <v>136</v>
      </c>
      <c r="D8" s="5" t="s">
        <v>87</v>
      </c>
      <c r="E8" s="5" t="s">
        <v>170</v>
      </c>
      <c r="F8" s="5" t="s">
        <v>170</v>
      </c>
      <c r="G8" s="5" t="s">
        <v>22</v>
      </c>
      <c r="H8" s="5" t="s">
        <v>177</v>
      </c>
    </row>
    <row r="9" customFormat="false" ht="36" hidden="false" customHeight="true" outlineLevel="0" collapsed="false">
      <c r="A9" s="6" t="s">
        <v>164</v>
      </c>
      <c r="B9" s="6" t="s">
        <v>178</v>
      </c>
      <c r="C9" s="6" t="s">
        <v>27</v>
      </c>
      <c r="D9" s="6" t="s">
        <v>179</v>
      </c>
      <c r="E9" s="6" t="s">
        <v>166</v>
      </c>
      <c r="F9" s="6" t="s">
        <v>180</v>
      </c>
      <c r="G9" s="6" t="s">
        <v>22</v>
      </c>
      <c r="H9" s="6" t="s">
        <v>181</v>
      </c>
    </row>
    <row r="10" customFormat="false" ht="36" hidden="false" customHeight="true" outlineLevel="0" collapsed="false">
      <c r="A10" s="5" t="s">
        <v>164</v>
      </c>
      <c r="B10" s="5" t="s">
        <v>182</v>
      </c>
      <c r="C10" s="5" t="s">
        <v>34</v>
      </c>
      <c r="D10" s="5" t="s">
        <v>183</v>
      </c>
      <c r="E10" s="5" t="s">
        <v>166</v>
      </c>
      <c r="F10" s="5" t="s">
        <v>180</v>
      </c>
      <c r="G10" s="5" t="s">
        <v>22</v>
      </c>
      <c r="H10" s="5" t="s">
        <v>184</v>
      </c>
    </row>
    <row r="11" customFormat="false" ht="36" hidden="false" customHeight="true" outlineLevel="0" collapsed="false">
      <c r="A11" s="6" t="s">
        <v>185</v>
      </c>
      <c r="B11" s="6" t="s">
        <v>186</v>
      </c>
      <c r="C11" s="6" t="s">
        <v>14</v>
      </c>
      <c r="D11" s="6" t="s">
        <v>91</v>
      </c>
      <c r="E11" s="6" t="s">
        <v>187</v>
      </c>
      <c r="F11" s="6" t="s">
        <v>188</v>
      </c>
      <c r="G11" s="6" t="s">
        <v>22</v>
      </c>
      <c r="H11" s="6" t="s">
        <v>189</v>
      </c>
    </row>
    <row r="12" customFormat="false" ht="36" hidden="false" customHeight="true" outlineLevel="0" collapsed="false">
      <c r="A12" s="5" t="s">
        <v>185</v>
      </c>
      <c r="B12" s="5" t="s">
        <v>190</v>
      </c>
      <c r="C12" s="5" t="s">
        <v>14</v>
      </c>
      <c r="D12" s="5" t="s">
        <v>91</v>
      </c>
      <c r="E12" s="5" t="s">
        <v>187</v>
      </c>
      <c r="F12" s="5" t="s">
        <v>188</v>
      </c>
      <c r="G12" s="5" t="s">
        <v>22</v>
      </c>
      <c r="H12" s="5" t="s">
        <v>191</v>
      </c>
    </row>
    <row r="13" customFormat="false" ht="36" hidden="false" customHeight="true" outlineLevel="0" collapsed="false">
      <c r="A13" s="6" t="s">
        <v>185</v>
      </c>
      <c r="B13" s="6" t="s">
        <v>192</v>
      </c>
      <c r="C13" s="6" t="s">
        <v>14</v>
      </c>
      <c r="D13" s="6" t="s">
        <v>91</v>
      </c>
      <c r="E13" s="6" t="s">
        <v>187</v>
      </c>
      <c r="F13" s="6" t="s">
        <v>193</v>
      </c>
      <c r="G13" s="6" t="s">
        <v>22</v>
      </c>
      <c r="H13" s="6" t="s">
        <v>194</v>
      </c>
    </row>
    <row r="14" customFormat="false" ht="36" hidden="false" customHeight="true" outlineLevel="0" collapsed="false">
      <c r="A14" s="5" t="s">
        <v>185</v>
      </c>
      <c r="B14" s="5" t="s">
        <v>195</v>
      </c>
      <c r="C14" s="5" t="s">
        <v>87</v>
      </c>
      <c r="D14" s="5" t="s">
        <v>196</v>
      </c>
      <c r="E14" s="5" t="s">
        <v>187</v>
      </c>
      <c r="F14" s="5" t="s">
        <v>197</v>
      </c>
      <c r="G14" s="5" t="s">
        <v>22</v>
      </c>
      <c r="H14" s="5" t="s">
        <v>198</v>
      </c>
    </row>
    <row r="15" customFormat="false" ht="36" hidden="false" customHeight="true" outlineLevel="0" collapsed="false">
      <c r="A15" s="6" t="s">
        <v>185</v>
      </c>
      <c r="B15" s="6" t="s">
        <v>176</v>
      </c>
      <c r="C15" s="6" t="s">
        <v>136</v>
      </c>
      <c r="D15" s="6" t="s">
        <v>87</v>
      </c>
      <c r="E15" s="6" t="s">
        <v>193</v>
      </c>
      <c r="F15" s="6" t="s">
        <v>193</v>
      </c>
      <c r="G15" s="6" t="s">
        <v>22</v>
      </c>
      <c r="H15" s="6" t="s">
        <v>177</v>
      </c>
    </row>
    <row r="16" customFormat="false" ht="36" hidden="false" customHeight="true" outlineLevel="0" collapsed="false">
      <c r="A16" s="5" t="s">
        <v>185</v>
      </c>
      <c r="B16" s="5" t="s">
        <v>199</v>
      </c>
      <c r="C16" s="5" t="s">
        <v>34</v>
      </c>
      <c r="D16" s="5" t="s">
        <v>27</v>
      </c>
      <c r="E16" s="5" t="s">
        <v>187</v>
      </c>
      <c r="F16" s="5" t="s">
        <v>197</v>
      </c>
      <c r="G16" s="5" t="s">
        <v>22</v>
      </c>
      <c r="H16" s="5" t="s">
        <v>184</v>
      </c>
    </row>
    <row r="17" customFormat="false" ht="36" hidden="false" customHeight="true" outlineLevel="0" collapsed="false">
      <c r="A17" s="6" t="s">
        <v>185</v>
      </c>
      <c r="B17" s="6" t="s">
        <v>200</v>
      </c>
      <c r="C17" s="6" t="s">
        <v>27</v>
      </c>
      <c r="D17" s="6" t="s">
        <v>91</v>
      </c>
      <c r="E17" s="6" t="s">
        <v>187</v>
      </c>
      <c r="F17" s="6" t="s">
        <v>197</v>
      </c>
      <c r="G17" s="6" t="s">
        <v>22</v>
      </c>
      <c r="H17" s="6" t="s">
        <v>201</v>
      </c>
    </row>
    <row r="18" customFormat="false" ht="36" hidden="false" customHeight="true" outlineLevel="0" collapsed="false">
      <c r="A18" s="5" t="s">
        <v>202</v>
      </c>
      <c r="B18" s="5" t="s">
        <v>203</v>
      </c>
      <c r="C18" s="5" t="s">
        <v>14</v>
      </c>
      <c r="D18" s="5" t="s">
        <v>91</v>
      </c>
      <c r="E18" s="5" t="s">
        <v>204</v>
      </c>
      <c r="F18" s="5" t="s">
        <v>205</v>
      </c>
      <c r="G18" s="5" t="s">
        <v>22</v>
      </c>
      <c r="H18" s="5" t="s">
        <v>206</v>
      </c>
    </row>
    <row r="19" customFormat="false" ht="36" hidden="false" customHeight="true" outlineLevel="0" collapsed="false">
      <c r="A19" s="6" t="s">
        <v>202</v>
      </c>
      <c r="B19" s="6" t="s">
        <v>207</v>
      </c>
      <c r="C19" s="6" t="s">
        <v>14</v>
      </c>
      <c r="D19" s="6" t="s">
        <v>208</v>
      </c>
      <c r="E19" s="6" t="s">
        <v>204</v>
      </c>
      <c r="F19" s="6" t="s">
        <v>209</v>
      </c>
      <c r="G19" s="6" t="s">
        <v>22</v>
      </c>
      <c r="H19" s="6" t="s">
        <v>210</v>
      </c>
    </row>
    <row r="20" customFormat="false" ht="36" hidden="false" customHeight="true" outlineLevel="0" collapsed="false">
      <c r="A20" s="5" t="s">
        <v>202</v>
      </c>
      <c r="B20" s="5" t="s">
        <v>211</v>
      </c>
      <c r="C20" s="5" t="s">
        <v>14</v>
      </c>
      <c r="D20" s="5" t="s">
        <v>91</v>
      </c>
      <c r="E20" s="5" t="s">
        <v>204</v>
      </c>
      <c r="F20" s="5" t="s">
        <v>212</v>
      </c>
      <c r="G20" s="5" t="s">
        <v>22</v>
      </c>
      <c r="H20" s="5" t="s">
        <v>213</v>
      </c>
    </row>
    <row r="21" customFormat="false" ht="36" hidden="false" customHeight="true" outlineLevel="0" collapsed="false">
      <c r="A21" s="6" t="s">
        <v>202</v>
      </c>
      <c r="B21" s="6" t="s">
        <v>214</v>
      </c>
      <c r="C21" s="6" t="s">
        <v>136</v>
      </c>
      <c r="D21" s="6" t="s">
        <v>87</v>
      </c>
      <c r="E21" s="6" t="s">
        <v>205</v>
      </c>
      <c r="F21" s="6" t="s">
        <v>205</v>
      </c>
      <c r="G21" s="6" t="s">
        <v>22</v>
      </c>
      <c r="H21" s="6" t="s">
        <v>215</v>
      </c>
    </row>
    <row r="22" customFormat="false" ht="36" hidden="false" customHeight="true" outlineLevel="0" collapsed="false">
      <c r="A22" s="5" t="s">
        <v>202</v>
      </c>
      <c r="B22" s="5" t="s">
        <v>216</v>
      </c>
      <c r="C22" s="5" t="s">
        <v>34</v>
      </c>
      <c r="D22" s="5" t="s">
        <v>27</v>
      </c>
      <c r="E22" s="5" t="s">
        <v>204</v>
      </c>
      <c r="F22" s="5" t="s">
        <v>209</v>
      </c>
      <c r="G22" s="5" t="s">
        <v>22</v>
      </c>
      <c r="H22" s="5" t="s">
        <v>184</v>
      </c>
    </row>
    <row r="23" customFormat="false" ht="36" hidden="false" customHeight="true" outlineLevel="0" collapsed="false">
      <c r="A23" s="6" t="s">
        <v>202</v>
      </c>
      <c r="B23" s="6" t="s">
        <v>217</v>
      </c>
      <c r="C23" s="6" t="s">
        <v>27</v>
      </c>
      <c r="D23" s="6" t="s">
        <v>91</v>
      </c>
      <c r="E23" s="6" t="s">
        <v>204</v>
      </c>
      <c r="F23" s="6" t="s">
        <v>209</v>
      </c>
      <c r="G23" s="6" t="s">
        <v>22</v>
      </c>
      <c r="H23" s="6" t="s">
        <v>218</v>
      </c>
    </row>
    <row r="24" customFormat="false" ht="36" hidden="false" customHeight="true" outlineLevel="0" collapsed="false">
      <c r="A24" s="5" t="s">
        <v>219</v>
      </c>
      <c r="B24" s="5" t="s">
        <v>220</v>
      </c>
      <c r="C24" s="5" t="s">
        <v>87</v>
      </c>
      <c r="D24" s="5" t="s">
        <v>91</v>
      </c>
      <c r="E24" s="5" t="s">
        <v>221</v>
      </c>
      <c r="F24" s="5" t="s">
        <v>222</v>
      </c>
      <c r="G24" s="5" t="s">
        <v>22</v>
      </c>
      <c r="H24" s="5" t="s">
        <v>223</v>
      </c>
    </row>
    <row r="25" customFormat="false" ht="36" hidden="false" customHeight="true" outlineLevel="0" collapsed="false">
      <c r="A25" s="6" t="s">
        <v>219</v>
      </c>
      <c r="B25" s="6" t="s">
        <v>224</v>
      </c>
      <c r="C25" s="6" t="s">
        <v>14</v>
      </c>
      <c r="D25" s="6" t="s">
        <v>225</v>
      </c>
      <c r="E25" s="6" t="s">
        <v>221</v>
      </c>
      <c r="F25" s="6" t="s">
        <v>226</v>
      </c>
      <c r="G25" s="6" t="s">
        <v>22</v>
      </c>
      <c r="H25" s="6" t="s">
        <v>227</v>
      </c>
    </row>
    <row r="26" customFormat="false" ht="36" hidden="false" customHeight="true" outlineLevel="0" collapsed="false">
      <c r="A26" s="5" t="s">
        <v>219</v>
      </c>
      <c r="B26" s="5" t="s">
        <v>228</v>
      </c>
      <c r="C26" s="5" t="s">
        <v>14</v>
      </c>
      <c r="D26" s="5" t="s">
        <v>91</v>
      </c>
      <c r="E26" s="5" t="s">
        <v>221</v>
      </c>
      <c r="F26" s="5" t="s">
        <v>222</v>
      </c>
      <c r="G26" s="5" t="s">
        <v>22</v>
      </c>
      <c r="H26" s="5" t="s">
        <v>229</v>
      </c>
    </row>
    <row r="27" customFormat="false" ht="36" hidden="false" customHeight="true" outlineLevel="0" collapsed="false">
      <c r="A27" s="6" t="s">
        <v>219</v>
      </c>
      <c r="B27" s="6" t="s">
        <v>230</v>
      </c>
      <c r="C27" s="6" t="s">
        <v>14</v>
      </c>
      <c r="D27" s="6" t="s">
        <v>91</v>
      </c>
      <c r="E27" s="6" t="s">
        <v>221</v>
      </c>
      <c r="F27" s="6" t="s">
        <v>222</v>
      </c>
      <c r="G27" s="6" t="s">
        <v>22</v>
      </c>
      <c r="H27" s="6" t="s">
        <v>231</v>
      </c>
    </row>
    <row r="28" customFormat="false" ht="36" hidden="false" customHeight="true" outlineLevel="0" collapsed="false">
      <c r="A28" s="5" t="s">
        <v>219</v>
      </c>
      <c r="B28" s="5" t="s">
        <v>176</v>
      </c>
      <c r="C28" s="5" t="s">
        <v>136</v>
      </c>
      <c r="D28" s="5" t="s">
        <v>87</v>
      </c>
      <c r="E28" s="5" t="s">
        <v>226</v>
      </c>
      <c r="F28" s="5" t="s">
        <v>226</v>
      </c>
      <c r="G28" s="5" t="s">
        <v>22</v>
      </c>
      <c r="H28" s="5" t="s">
        <v>177</v>
      </c>
    </row>
    <row r="29" customFormat="false" ht="36" hidden="false" customHeight="true" outlineLevel="0" collapsed="false">
      <c r="A29" s="6" t="s">
        <v>219</v>
      </c>
      <c r="B29" s="6" t="s">
        <v>156</v>
      </c>
      <c r="C29" s="6" t="s">
        <v>136</v>
      </c>
      <c r="D29" s="6" t="s">
        <v>87</v>
      </c>
      <c r="E29" s="6" t="s">
        <v>232</v>
      </c>
      <c r="F29" s="6" t="s">
        <v>232</v>
      </c>
      <c r="G29" s="6" t="s">
        <v>22</v>
      </c>
      <c r="H29" s="6" t="s">
        <v>233</v>
      </c>
    </row>
    <row r="30" customFormat="false" ht="36" hidden="false" customHeight="true" outlineLevel="0" collapsed="false">
      <c r="A30" s="5" t="s">
        <v>219</v>
      </c>
      <c r="B30" s="5" t="s">
        <v>234</v>
      </c>
      <c r="C30" s="5" t="s">
        <v>27</v>
      </c>
      <c r="D30" s="5" t="s">
        <v>91</v>
      </c>
      <c r="E30" s="5" t="s">
        <v>221</v>
      </c>
      <c r="F30" s="5" t="s">
        <v>222</v>
      </c>
      <c r="G30" s="5" t="s">
        <v>22</v>
      </c>
      <c r="H30" s="5" t="s">
        <v>235</v>
      </c>
    </row>
  </sheetData>
  <mergeCells count="2">
    <mergeCell ref="A1:H1"/>
    <mergeCell ref="A2:H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236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7" t="s">
        <v>237</v>
      </c>
      <c r="B2" s="7"/>
      <c r="C2" s="7"/>
      <c r="D2" s="7"/>
      <c r="E2" s="7"/>
      <c r="F2" s="7"/>
      <c r="G2" s="7"/>
      <c r="H2" s="7"/>
    </row>
    <row r="4" customFormat="false" ht="31.5" hidden="false" customHeight="true" outlineLevel="0" collapsed="false">
      <c r="A4" s="4" t="s">
        <v>80</v>
      </c>
      <c r="B4" s="4" t="s">
        <v>81</v>
      </c>
      <c r="C4" s="4" t="s">
        <v>30</v>
      </c>
      <c r="D4" s="4" t="s">
        <v>8</v>
      </c>
      <c r="E4" s="4" t="s">
        <v>82</v>
      </c>
      <c r="F4" s="4" t="s">
        <v>83</v>
      </c>
      <c r="G4" s="4" t="s">
        <v>9</v>
      </c>
      <c r="H4" s="4" t="s">
        <v>84</v>
      </c>
    </row>
    <row r="5" customFormat="false" ht="36" hidden="false" customHeight="true" outlineLevel="0" collapsed="false">
      <c r="A5" s="6" t="s">
        <v>238</v>
      </c>
      <c r="B5" s="6" t="s">
        <v>239</v>
      </c>
      <c r="C5" s="6" t="s">
        <v>14</v>
      </c>
      <c r="D5" s="6" t="s">
        <v>91</v>
      </c>
      <c r="E5" s="6" t="s">
        <v>240</v>
      </c>
      <c r="F5" s="6" t="s">
        <v>241</v>
      </c>
      <c r="G5" s="6" t="s">
        <v>22</v>
      </c>
      <c r="H5" s="6" t="s">
        <v>242</v>
      </c>
    </row>
    <row r="6" customFormat="false" ht="36" hidden="false" customHeight="true" outlineLevel="0" collapsed="false">
      <c r="A6" s="5" t="s">
        <v>238</v>
      </c>
      <c r="B6" s="5" t="s">
        <v>243</v>
      </c>
      <c r="C6" s="5" t="s">
        <v>14</v>
      </c>
      <c r="D6" s="5" t="s">
        <v>225</v>
      </c>
      <c r="E6" s="5" t="s">
        <v>240</v>
      </c>
      <c r="F6" s="5" t="s">
        <v>241</v>
      </c>
      <c r="G6" s="5" t="s">
        <v>22</v>
      </c>
      <c r="H6" s="5" t="s">
        <v>244</v>
      </c>
    </row>
    <row r="7" customFormat="false" ht="36" hidden="false" customHeight="true" outlineLevel="0" collapsed="false">
      <c r="A7" s="6" t="s">
        <v>238</v>
      </c>
      <c r="B7" s="6" t="s">
        <v>245</v>
      </c>
      <c r="C7" s="6" t="s">
        <v>27</v>
      </c>
      <c r="D7" s="6" t="s">
        <v>246</v>
      </c>
      <c r="E7" s="6" t="s">
        <v>240</v>
      </c>
      <c r="F7" s="6" t="s">
        <v>241</v>
      </c>
      <c r="G7" s="6" t="s">
        <v>22</v>
      </c>
      <c r="H7" s="6" t="s">
        <v>247</v>
      </c>
    </row>
    <row r="8" customFormat="false" ht="36" hidden="false" customHeight="true" outlineLevel="0" collapsed="false">
      <c r="A8" s="5" t="s">
        <v>238</v>
      </c>
      <c r="B8" s="5" t="s">
        <v>248</v>
      </c>
      <c r="C8" s="5" t="s">
        <v>14</v>
      </c>
      <c r="D8" s="5" t="s">
        <v>133</v>
      </c>
      <c r="E8" s="5" t="s">
        <v>240</v>
      </c>
      <c r="F8" s="5" t="s">
        <v>241</v>
      </c>
      <c r="G8" s="5" t="s">
        <v>22</v>
      </c>
      <c r="H8" s="5" t="s">
        <v>249</v>
      </c>
    </row>
    <row r="9" customFormat="false" ht="36" hidden="false" customHeight="true" outlineLevel="0" collapsed="false">
      <c r="A9" s="6" t="s">
        <v>238</v>
      </c>
      <c r="B9" s="6" t="s">
        <v>176</v>
      </c>
      <c r="C9" s="6" t="s">
        <v>136</v>
      </c>
      <c r="D9" s="6" t="s">
        <v>87</v>
      </c>
      <c r="E9" s="6" t="s">
        <v>250</v>
      </c>
      <c r="F9" s="6" t="s">
        <v>250</v>
      </c>
      <c r="G9" s="6" t="s">
        <v>22</v>
      </c>
      <c r="H9" s="6" t="s">
        <v>177</v>
      </c>
    </row>
    <row r="10" customFormat="false" ht="36" hidden="false" customHeight="true" outlineLevel="0" collapsed="false">
      <c r="A10" s="5" t="s">
        <v>238</v>
      </c>
      <c r="B10" s="5" t="s">
        <v>251</v>
      </c>
      <c r="C10" s="5" t="s">
        <v>34</v>
      </c>
      <c r="D10" s="5" t="s">
        <v>91</v>
      </c>
      <c r="E10" s="5" t="s">
        <v>240</v>
      </c>
      <c r="F10" s="5" t="s">
        <v>241</v>
      </c>
      <c r="G10" s="5" t="s">
        <v>22</v>
      </c>
      <c r="H10" s="5" t="s">
        <v>252</v>
      </c>
    </row>
    <row r="11" customFormat="false" ht="36" hidden="false" customHeight="true" outlineLevel="0" collapsed="false">
      <c r="A11" s="6" t="s">
        <v>253</v>
      </c>
      <c r="B11" s="6" t="s">
        <v>254</v>
      </c>
      <c r="C11" s="6" t="s">
        <v>14</v>
      </c>
      <c r="D11" s="6" t="s">
        <v>255</v>
      </c>
      <c r="E11" s="6" t="s">
        <v>256</v>
      </c>
      <c r="F11" s="6" t="s">
        <v>257</v>
      </c>
      <c r="G11" s="6" t="s">
        <v>22</v>
      </c>
      <c r="H11" s="6" t="s">
        <v>258</v>
      </c>
    </row>
    <row r="12" customFormat="false" ht="36" hidden="false" customHeight="true" outlineLevel="0" collapsed="false">
      <c r="A12" s="5" t="s">
        <v>253</v>
      </c>
      <c r="B12" s="5" t="s">
        <v>259</v>
      </c>
      <c r="C12" s="5" t="s">
        <v>14</v>
      </c>
      <c r="D12" s="5" t="s">
        <v>91</v>
      </c>
      <c r="E12" s="5" t="s">
        <v>256</v>
      </c>
      <c r="F12" s="5" t="s">
        <v>260</v>
      </c>
      <c r="G12" s="5" t="s">
        <v>22</v>
      </c>
      <c r="H12" s="5" t="s">
        <v>261</v>
      </c>
    </row>
    <row r="13" customFormat="false" ht="36" hidden="false" customHeight="true" outlineLevel="0" collapsed="false">
      <c r="A13" s="6" t="s">
        <v>253</v>
      </c>
      <c r="B13" s="6" t="s">
        <v>262</v>
      </c>
      <c r="C13" s="6" t="s">
        <v>27</v>
      </c>
      <c r="D13" s="6" t="s">
        <v>34</v>
      </c>
      <c r="E13" s="6" t="s">
        <v>256</v>
      </c>
      <c r="F13" s="6" t="s">
        <v>260</v>
      </c>
      <c r="G13" s="6" t="s">
        <v>22</v>
      </c>
      <c r="H13" s="6" t="s">
        <v>263</v>
      </c>
    </row>
    <row r="14" customFormat="false" ht="36" hidden="false" customHeight="true" outlineLevel="0" collapsed="false">
      <c r="A14" s="5" t="s">
        <v>253</v>
      </c>
      <c r="B14" s="5" t="s">
        <v>264</v>
      </c>
      <c r="C14" s="5" t="s">
        <v>136</v>
      </c>
      <c r="D14" s="5" t="s">
        <v>87</v>
      </c>
      <c r="E14" s="5" t="s">
        <v>265</v>
      </c>
      <c r="F14" s="5" t="s">
        <v>265</v>
      </c>
      <c r="G14" s="5" t="s">
        <v>22</v>
      </c>
      <c r="H14" s="5" t="s">
        <v>266</v>
      </c>
    </row>
    <row r="15" customFormat="false" ht="36" hidden="false" customHeight="true" outlineLevel="0" collapsed="false">
      <c r="A15" s="6" t="s">
        <v>253</v>
      </c>
      <c r="B15" s="6" t="s">
        <v>267</v>
      </c>
      <c r="C15" s="6" t="s">
        <v>34</v>
      </c>
      <c r="D15" s="6" t="s">
        <v>91</v>
      </c>
      <c r="E15" s="6" t="s">
        <v>256</v>
      </c>
      <c r="F15" s="6" t="s">
        <v>260</v>
      </c>
      <c r="G15" s="6" t="s">
        <v>22</v>
      </c>
      <c r="H15" s="6" t="s">
        <v>268</v>
      </c>
    </row>
    <row r="16" customFormat="false" ht="36" hidden="false" customHeight="true" outlineLevel="0" collapsed="false">
      <c r="A16" s="5" t="s">
        <v>253</v>
      </c>
      <c r="B16" s="5" t="s">
        <v>269</v>
      </c>
      <c r="C16" s="5" t="s">
        <v>14</v>
      </c>
      <c r="D16" s="5" t="s">
        <v>225</v>
      </c>
      <c r="E16" s="5" t="s">
        <v>256</v>
      </c>
      <c r="F16" s="5" t="s">
        <v>260</v>
      </c>
      <c r="G16" s="5" t="s">
        <v>22</v>
      </c>
      <c r="H16" s="5" t="s">
        <v>270</v>
      </c>
    </row>
    <row r="17" customFormat="false" ht="36" hidden="false" customHeight="true" outlineLevel="0" collapsed="false">
      <c r="A17" s="6" t="s">
        <v>271</v>
      </c>
      <c r="B17" s="6" t="s">
        <v>272</v>
      </c>
      <c r="C17" s="6" t="s">
        <v>14</v>
      </c>
      <c r="D17" s="6" t="s">
        <v>273</v>
      </c>
      <c r="E17" s="6" t="s">
        <v>274</v>
      </c>
      <c r="F17" s="6" t="s">
        <v>275</v>
      </c>
      <c r="G17" s="6" t="s">
        <v>22</v>
      </c>
      <c r="H17" s="6" t="s">
        <v>276</v>
      </c>
    </row>
    <row r="18" customFormat="false" ht="36" hidden="false" customHeight="true" outlineLevel="0" collapsed="false">
      <c r="A18" s="5" t="s">
        <v>271</v>
      </c>
      <c r="B18" s="5" t="s">
        <v>277</v>
      </c>
      <c r="C18" s="5" t="s">
        <v>27</v>
      </c>
      <c r="D18" s="5" t="s">
        <v>34</v>
      </c>
      <c r="E18" s="5" t="s">
        <v>274</v>
      </c>
      <c r="F18" s="5" t="s">
        <v>275</v>
      </c>
      <c r="G18" s="5" t="s">
        <v>22</v>
      </c>
      <c r="H18" s="5" t="s">
        <v>278</v>
      </c>
    </row>
    <row r="19" customFormat="false" ht="36" hidden="false" customHeight="true" outlineLevel="0" collapsed="false">
      <c r="A19" s="6" t="s">
        <v>271</v>
      </c>
      <c r="B19" s="6" t="s">
        <v>214</v>
      </c>
      <c r="C19" s="6" t="s">
        <v>136</v>
      </c>
      <c r="D19" s="6" t="s">
        <v>87</v>
      </c>
      <c r="E19" s="6" t="s">
        <v>275</v>
      </c>
      <c r="F19" s="6" t="s">
        <v>275</v>
      </c>
      <c r="G19" s="6" t="s">
        <v>22</v>
      </c>
      <c r="H19" s="6" t="s">
        <v>215</v>
      </c>
    </row>
    <row r="20" customFormat="false" ht="36" hidden="false" customHeight="true" outlineLevel="0" collapsed="false">
      <c r="A20" s="5" t="s">
        <v>271</v>
      </c>
      <c r="B20" s="5" t="s">
        <v>279</v>
      </c>
      <c r="C20" s="5" t="s">
        <v>77</v>
      </c>
      <c r="D20" s="5" t="s">
        <v>91</v>
      </c>
      <c r="E20" s="5" t="s">
        <v>274</v>
      </c>
      <c r="F20" s="5" t="s">
        <v>275</v>
      </c>
      <c r="G20" s="5" t="s">
        <v>22</v>
      </c>
      <c r="H20" s="5" t="s">
        <v>280</v>
      </c>
    </row>
    <row r="21" customFormat="false" ht="36" hidden="false" customHeight="true" outlineLevel="0" collapsed="false">
      <c r="A21" s="6" t="s">
        <v>271</v>
      </c>
      <c r="B21" s="6" t="s">
        <v>281</v>
      </c>
      <c r="C21" s="6" t="s">
        <v>34</v>
      </c>
      <c r="D21" s="6" t="s">
        <v>91</v>
      </c>
      <c r="E21" s="6" t="s">
        <v>274</v>
      </c>
      <c r="F21" s="6" t="s">
        <v>275</v>
      </c>
      <c r="G21" s="6" t="s">
        <v>22</v>
      </c>
      <c r="H21" s="6" t="s">
        <v>282</v>
      </c>
    </row>
    <row r="22" customFormat="false" ht="36" hidden="false" customHeight="true" outlineLevel="0" collapsed="false">
      <c r="A22" s="5" t="s">
        <v>271</v>
      </c>
      <c r="B22" s="5" t="s">
        <v>283</v>
      </c>
      <c r="C22" s="5" t="s">
        <v>14</v>
      </c>
      <c r="D22" s="5" t="s">
        <v>284</v>
      </c>
      <c r="E22" s="5" t="s">
        <v>274</v>
      </c>
      <c r="F22" s="5" t="s">
        <v>275</v>
      </c>
      <c r="G22" s="5" t="s">
        <v>22</v>
      </c>
      <c r="H22" s="5" t="s">
        <v>285</v>
      </c>
    </row>
    <row r="23" customFormat="false" ht="36" hidden="false" customHeight="true" outlineLevel="0" collapsed="false">
      <c r="A23" s="6" t="s">
        <v>286</v>
      </c>
      <c r="B23" s="6" t="s">
        <v>287</v>
      </c>
      <c r="C23" s="6" t="s">
        <v>14</v>
      </c>
      <c r="D23" s="6" t="s">
        <v>91</v>
      </c>
      <c r="E23" s="6" t="s">
        <v>288</v>
      </c>
      <c r="F23" s="6" t="s">
        <v>289</v>
      </c>
      <c r="G23" s="6" t="s">
        <v>22</v>
      </c>
      <c r="H23" s="6" t="s">
        <v>290</v>
      </c>
    </row>
    <row r="24" customFormat="false" ht="36" hidden="false" customHeight="true" outlineLevel="0" collapsed="false">
      <c r="A24" s="5" t="s">
        <v>286</v>
      </c>
      <c r="B24" s="5" t="s">
        <v>291</v>
      </c>
      <c r="C24" s="5" t="s">
        <v>27</v>
      </c>
      <c r="D24" s="5" t="s">
        <v>91</v>
      </c>
      <c r="E24" s="5" t="s">
        <v>288</v>
      </c>
      <c r="F24" s="5" t="s">
        <v>289</v>
      </c>
      <c r="G24" s="5" t="s">
        <v>22</v>
      </c>
      <c r="H24" s="5" t="s">
        <v>292</v>
      </c>
    </row>
    <row r="25" customFormat="false" ht="36" hidden="false" customHeight="true" outlineLevel="0" collapsed="false">
      <c r="A25" s="6" t="s">
        <v>286</v>
      </c>
      <c r="B25" s="6" t="s">
        <v>293</v>
      </c>
      <c r="C25" s="6" t="s">
        <v>14</v>
      </c>
      <c r="D25" s="6" t="s">
        <v>294</v>
      </c>
      <c r="E25" s="6" t="s">
        <v>288</v>
      </c>
      <c r="F25" s="6" t="s">
        <v>295</v>
      </c>
      <c r="G25" s="6" t="s">
        <v>22</v>
      </c>
      <c r="H25" s="6" t="s">
        <v>296</v>
      </c>
    </row>
    <row r="26" customFormat="false" ht="36" hidden="false" customHeight="true" outlineLevel="0" collapsed="false">
      <c r="A26" s="5" t="s">
        <v>286</v>
      </c>
      <c r="B26" s="5" t="s">
        <v>297</v>
      </c>
      <c r="C26" s="5" t="s">
        <v>73</v>
      </c>
      <c r="D26" s="5" t="s">
        <v>27</v>
      </c>
      <c r="E26" s="5" t="s">
        <v>288</v>
      </c>
      <c r="F26" s="5" t="s">
        <v>289</v>
      </c>
      <c r="G26" s="5" t="s">
        <v>22</v>
      </c>
      <c r="H26" s="5" t="s">
        <v>298</v>
      </c>
    </row>
    <row r="27" customFormat="false" ht="36" hidden="false" customHeight="true" outlineLevel="0" collapsed="false">
      <c r="A27" s="6" t="s">
        <v>286</v>
      </c>
      <c r="B27" s="6" t="s">
        <v>176</v>
      </c>
      <c r="C27" s="6" t="s">
        <v>136</v>
      </c>
      <c r="D27" s="6" t="s">
        <v>87</v>
      </c>
      <c r="E27" s="6" t="s">
        <v>299</v>
      </c>
      <c r="F27" s="6" t="s">
        <v>299</v>
      </c>
      <c r="G27" s="6" t="s">
        <v>22</v>
      </c>
      <c r="H27" s="6" t="s">
        <v>177</v>
      </c>
    </row>
    <row r="28" customFormat="false" ht="36" hidden="false" customHeight="true" outlineLevel="0" collapsed="false">
      <c r="A28" s="5" t="s">
        <v>286</v>
      </c>
      <c r="B28" s="5" t="s">
        <v>300</v>
      </c>
      <c r="C28" s="5" t="s">
        <v>136</v>
      </c>
      <c r="D28" s="5" t="s">
        <v>87</v>
      </c>
      <c r="E28" s="5" t="s">
        <v>289</v>
      </c>
      <c r="F28" s="5" t="s">
        <v>289</v>
      </c>
      <c r="G28" s="5" t="s">
        <v>22</v>
      </c>
      <c r="H28" s="5" t="s">
        <v>301</v>
      </c>
    </row>
    <row r="29" customFormat="false" ht="36" hidden="false" customHeight="true" outlineLevel="0" collapsed="false">
      <c r="A29" s="6" t="s">
        <v>286</v>
      </c>
      <c r="B29" s="6" t="s">
        <v>302</v>
      </c>
      <c r="C29" s="6" t="s">
        <v>173</v>
      </c>
      <c r="D29" s="6" t="s">
        <v>91</v>
      </c>
      <c r="E29" s="6" t="s">
        <v>288</v>
      </c>
      <c r="F29" s="6" t="s">
        <v>289</v>
      </c>
      <c r="G29" s="6" t="s">
        <v>22</v>
      </c>
      <c r="H29" s="6" t="s">
        <v>303</v>
      </c>
    </row>
  </sheetData>
  <mergeCells count="2">
    <mergeCell ref="A1:H1"/>
    <mergeCell ref="A2:H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8"/>
  </cols>
  <sheetData>
    <row r="1" customFormat="false" ht="31.5" hidden="false" customHeight="true" outlineLevel="0" collapsed="false">
      <c r="A1" s="1" t="s">
        <v>304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3" t="s">
        <v>305</v>
      </c>
      <c r="B3" s="3"/>
      <c r="C3" s="3"/>
      <c r="D3" s="3"/>
      <c r="E3" s="3"/>
      <c r="F3" s="3"/>
    </row>
    <row r="4" customFormat="false" ht="31.5" hidden="false" customHeight="true" outlineLevel="0" collapsed="false">
      <c r="A4" s="4" t="s">
        <v>4</v>
      </c>
      <c r="B4" s="4" t="s">
        <v>306</v>
      </c>
      <c r="C4" s="4" t="s">
        <v>307</v>
      </c>
      <c r="D4" s="4" t="s">
        <v>308</v>
      </c>
      <c r="E4" s="4" t="s">
        <v>9</v>
      </c>
      <c r="F4" s="4" t="s">
        <v>84</v>
      </c>
    </row>
    <row r="5" customFormat="false" ht="36" hidden="false" customHeight="true" outlineLevel="0" collapsed="false">
      <c r="A5" s="6" t="s">
        <v>11</v>
      </c>
      <c r="B5" s="6" t="s">
        <v>309</v>
      </c>
      <c r="C5" s="6" t="s">
        <v>310</v>
      </c>
      <c r="D5" s="6" t="s">
        <v>311</v>
      </c>
      <c r="E5" s="6" t="s">
        <v>312</v>
      </c>
      <c r="F5" s="6" t="s">
        <v>313</v>
      </c>
    </row>
    <row r="6" customFormat="false" ht="36" hidden="false" customHeight="true" outlineLevel="0" collapsed="false">
      <c r="A6" s="5" t="s">
        <v>11</v>
      </c>
      <c r="B6" s="5" t="s">
        <v>314</v>
      </c>
      <c r="C6" s="5" t="s">
        <v>315</v>
      </c>
      <c r="D6" s="5" t="s">
        <v>316</v>
      </c>
      <c r="E6" s="5" t="s">
        <v>312</v>
      </c>
      <c r="F6" s="5" t="s">
        <v>317</v>
      </c>
    </row>
    <row r="7" customFormat="false" ht="36" hidden="false" customHeight="true" outlineLevel="0" collapsed="false">
      <c r="A7" s="6" t="s">
        <v>11</v>
      </c>
      <c r="B7" s="6" t="s">
        <v>318</v>
      </c>
      <c r="C7" s="6" t="s">
        <v>319</v>
      </c>
      <c r="D7" s="6" t="s">
        <v>320</v>
      </c>
      <c r="E7" s="6" t="s">
        <v>312</v>
      </c>
      <c r="F7" s="6" t="s">
        <v>321</v>
      </c>
    </row>
    <row r="8" customFormat="false" ht="36" hidden="false" customHeight="true" outlineLevel="0" collapsed="false">
      <c r="A8" s="5" t="s">
        <v>18</v>
      </c>
      <c r="B8" s="5" t="s">
        <v>322</v>
      </c>
      <c r="C8" s="5" t="s">
        <v>323</v>
      </c>
      <c r="D8" s="5" t="s">
        <v>324</v>
      </c>
      <c r="E8" s="5" t="s">
        <v>312</v>
      </c>
      <c r="F8" s="5" t="s">
        <v>325</v>
      </c>
    </row>
    <row r="9" customFormat="false" ht="36" hidden="false" customHeight="true" outlineLevel="0" collapsed="false">
      <c r="A9" s="6" t="s">
        <v>18</v>
      </c>
      <c r="B9" s="6" t="s">
        <v>326</v>
      </c>
      <c r="C9" s="6" t="s">
        <v>184</v>
      </c>
      <c r="D9" s="6" t="s">
        <v>324</v>
      </c>
      <c r="E9" s="6" t="s">
        <v>312</v>
      </c>
      <c r="F9" s="6" t="s">
        <v>268</v>
      </c>
    </row>
    <row r="10" customFormat="false" ht="36" hidden="false" customHeight="true" outlineLevel="0" collapsed="false">
      <c r="A10" s="5" t="s">
        <v>18</v>
      </c>
      <c r="B10" s="5" t="s">
        <v>327</v>
      </c>
      <c r="C10" s="5" t="s">
        <v>184</v>
      </c>
      <c r="D10" s="5" t="s">
        <v>324</v>
      </c>
      <c r="E10" s="5" t="s">
        <v>312</v>
      </c>
      <c r="F10" s="5" t="s">
        <v>282</v>
      </c>
    </row>
    <row r="11" customFormat="false" ht="36" hidden="false" customHeight="true" outlineLevel="0" collapsed="false">
      <c r="A11" s="6" t="s">
        <v>24</v>
      </c>
      <c r="B11" s="6" t="s">
        <v>328</v>
      </c>
      <c r="C11" s="6" t="s">
        <v>252</v>
      </c>
      <c r="D11" s="6" t="s">
        <v>329</v>
      </c>
      <c r="E11" s="6" t="s">
        <v>312</v>
      </c>
      <c r="F11" s="6" t="s">
        <v>330</v>
      </c>
    </row>
    <row r="12" customFormat="false" ht="36" hidden="false" customHeight="true" outlineLevel="0" collapsed="false">
      <c r="A12" s="5" t="s">
        <v>24</v>
      </c>
      <c r="B12" s="5" t="s">
        <v>331</v>
      </c>
      <c r="C12" s="5" t="s">
        <v>252</v>
      </c>
      <c r="D12" s="5" t="s">
        <v>329</v>
      </c>
      <c r="E12" s="5" t="s">
        <v>312</v>
      </c>
      <c r="F12" s="5" t="s">
        <v>332</v>
      </c>
    </row>
    <row r="13" customFormat="false" ht="36" hidden="false" customHeight="true" outlineLevel="0" collapsed="false">
      <c r="A13" s="6" t="s">
        <v>24</v>
      </c>
      <c r="B13" s="6" t="s">
        <v>333</v>
      </c>
      <c r="C13" s="6" t="s">
        <v>252</v>
      </c>
      <c r="D13" s="6" t="s">
        <v>329</v>
      </c>
      <c r="E13" s="6" t="s">
        <v>312</v>
      </c>
      <c r="F13" s="6" t="s">
        <v>332</v>
      </c>
    </row>
    <row r="14" customFormat="false" ht="36" hidden="false" customHeight="true" outlineLevel="0" collapsed="false">
      <c r="A14" s="5" t="s">
        <v>24</v>
      </c>
      <c r="B14" s="5" t="s">
        <v>334</v>
      </c>
      <c r="C14" s="5" t="s">
        <v>335</v>
      </c>
      <c r="D14" s="5" t="s">
        <v>316</v>
      </c>
      <c r="E14" s="5" t="s">
        <v>312</v>
      </c>
      <c r="F14" s="5" t="s">
        <v>317</v>
      </c>
    </row>
    <row r="15" customFormat="false" ht="36" hidden="false" customHeight="true" outlineLevel="0" collapsed="false">
      <c r="A15" s="6" t="s">
        <v>336</v>
      </c>
      <c r="B15" s="6" t="s">
        <v>337</v>
      </c>
      <c r="C15" s="6" t="s">
        <v>338</v>
      </c>
      <c r="D15" s="6" t="s">
        <v>339</v>
      </c>
      <c r="E15" s="6" t="s">
        <v>312</v>
      </c>
      <c r="F15" s="6" t="s">
        <v>340</v>
      </c>
    </row>
    <row r="16" customFormat="false" ht="36" hidden="false" customHeight="true" outlineLevel="0" collapsed="false">
      <c r="A16" s="5" t="s">
        <v>336</v>
      </c>
      <c r="B16" s="5" t="s">
        <v>341</v>
      </c>
      <c r="C16" s="5" t="s">
        <v>342</v>
      </c>
      <c r="D16" s="5" t="s">
        <v>343</v>
      </c>
      <c r="E16" s="5" t="s">
        <v>312</v>
      </c>
      <c r="F16" s="5" t="s">
        <v>344</v>
      </c>
    </row>
    <row r="18" customFormat="false" ht="27.75" hidden="false" customHeight="true" outlineLevel="0" collapsed="false">
      <c r="A18" s="3" t="s">
        <v>345</v>
      </c>
      <c r="B18" s="3"/>
      <c r="C18" s="3"/>
      <c r="D18" s="3"/>
      <c r="E18" s="3"/>
      <c r="F18" s="3"/>
    </row>
    <row r="19" customFormat="false" ht="31.5" hidden="false" customHeight="true" outlineLevel="0" collapsed="false">
      <c r="A19" s="4" t="s">
        <v>4</v>
      </c>
      <c r="B19" s="4" t="s">
        <v>306</v>
      </c>
      <c r="C19" s="4" t="s">
        <v>307</v>
      </c>
      <c r="D19" s="4" t="s">
        <v>308</v>
      </c>
      <c r="E19" s="4" t="s">
        <v>9</v>
      </c>
      <c r="F19" s="4" t="s">
        <v>84</v>
      </c>
    </row>
    <row r="20" customFormat="false" ht="36" hidden="false" customHeight="true" outlineLevel="0" collapsed="false">
      <c r="A20" s="5" t="s">
        <v>11</v>
      </c>
      <c r="B20" s="5" t="s">
        <v>346</v>
      </c>
      <c r="C20" s="5" t="s">
        <v>347</v>
      </c>
      <c r="D20" s="5" t="s">
        <v>320</v>
      </c>
      <c r="E20" s="5" t="s">
        <v>312</v>
      </c>
      <c r="F20" s="5" t="s">
        <v>348</v>
      </c>
    </row>
    <row r="21" customFormat="false" ht="36" hidden="false" customHeight="true" outlineLevel="0" collapsed="false">
      <c r="A21" s="6" t="s">
        <v>11</v>
      </c>
      <c r="B21" s="6" t="s">
        <v>349</v>
      </c>
      <c r="C21" s="6" t="s">
        <v>350</v>
      </c>
      <c r="D21" s="6" t="s">
        <v>311</v>
      </c>
      <c r="E21" s="6" t="s">
        <v>312</v>
      </c>
      <c r="F21" s="6" t="s">
        <v>351</v>
      </c>
    </row>
    <row r="22" customFormat="false" ht="36" hidden="false" customHeight="true" outlineLevel="0" collapsed="false">
      <c r="A22" s="5" t="s">
        <v>11</v>
      </c>
      <c r="B22" s="5" t="s">
        <v>352</v>
      </c>
      <c r="C22" s="5" t="s">
        <v>353</v>
      </c>
      <c r="D22" s="5" t="s">
        <v>320</v>
      </c>
      <c r="E22" s="5" t="s">
        <v>312</v>
      </c>
      <c r="F22" s="5" t="s">
        <v>354</v>
      </c>
    </row>
    <row r="23" customFormat="false" ht="36" hidden="false" customHeight="true" outlineLevel="0" collapsed="false">
      <c r="A23" s="6" t="s">
        <v>18</v>
      </c>
      <c r="B23" s="6" t="s">
        <v>355</v>
      </c>
      <c r="C23" s="6" t="s">
        <v>356</v>
      </c>
      <c r="D23" s="6" t="s">
        <v>324</v>
      </c>
      <c r="E23" s="6" t="s">
        <v>312</v>
      </c>
      <c r="F23" s="6" t="s">
        <v>357</v>
      </c>
    </row>
    <row r="24" customFormat="false" ht="36" hidden="false" customHeight="true" outlineLevel="0" collapsed="false">
      <c r="A24" s="5" t="s">
        <v>18</v>
      </c>
      <c r="B24" s="5" t="s">
        <v>358</v>
      </c>
      <c r="C24" s="5" t="s">
        <v>359</v>
      </c>
      <c r="D24" s="5" t="s">
        <v>311</v>
      </c>
      <c r="E24" s="5" t="s">
        <v>312</v>
      </c>
      <c r="F24" s="5" t="s">
        <v>360</v>
      </c>
    </row>
    <row r="25" customFormat="false" ht="36" hidden="false" customHeight="true" outlineLevel="0" collapsed="false">
      <c r="A25" s="6" t="s">
        <v>18</v>
      </c>
      <c r="B25" s="6" t="s">
        <v>361</v>
      </c>
      <c r="C25" s="6" t="s">
        <v>362</v>
      </c>
      <c r="D25" s="6" t="s">
        <v>311</v>
      </c>
      <c r="E25" s="6" t="s">
        <v>312</v>
      </c>
      <c r="F25" s="6" t="s">
        <v>363</v>
      </c>
    </row>
    <row r="26" customFormat="false" ht="36" hidden="false" customHeight="true" outlineLevel="0" collapsed="false">
      <c r="A26" s="5" t="s">
        <v>24</v>
      </c>
      <c r="B26" s="5" t="s">
        <v>364</v>
      </c>
      <c r="C26" s="5" t="s">
        <v>247</v>
      </c>
      <c r="D26" s="5" t="s">
        <v>329</v>
      </c>
      <c r="E26" s="5" t="s">
        <v>312</v>
      </c>
      <c r="F26" s="5" t="s">
        <v>365</v>
      </c>
    </row>
    <row r="27" customFormat="false" ht="36" hidden="false" customHeight="true" outlineLevel="0" collapsed="false">
      <c r="A27" s="6" t="s">
        <v>24</v>
      </c>
      <c r="B27" s="6" t="s">
        <v>366</v>
      </c>
      <c r="C27" s="6" t="s">
        <v>263</v>
      </c>
      <c r="D27" s="6" t="s">
        <v>329</v>
      </c>
      <c r="E27" s="6" t="s">
        <v>312</v>
      </c>
      <c r="F27" s="6" t="s">
        <v>332</v>
      </c>
    </row>
    <row r="28" customFormat="false" ht="36" hidden="false" customHeight="true" outlineLevel="0" collapsed="false">
      <c r="A28" s="5" t="s">
        <v>24</v>
      </c>
      <c r="B28" s="5" t="s">
        <v>367</v>
      </c>
      <c r="C28" s="5" t="s">
        <v>263</v>
      </c>
      <c r="D28" s="5" t="s">
        <v>329</v>
      </c>
      <c r="E28" s="5" t="s">
        <v>312</v>
      </c>
      <c r="F28" s="5" t="s">
        <v>368</v>
      </c>
    </row>
    <row r="29" customFormat="false" ht="36" hidden="false" customHeight="true" outlineLevel="0" collapsed="false">
      <c r="A29" s="6" t="s">
        <v>24</v>
      </c>
      <c r="B29" s="6" t="s">
        <v>369</v>
      </c>
      <c r="C29" s="6" t="s">
        <v>370</v>
      </c>
      <c r="D29" s="6" t="s">
        <v>324</v>
      </c>
      <c r="E29" s="6" t="s">
        <v>312</v>
      </c>
      <c r="F29" s="6" t="s">
        <v>371</v>
      </c>
    </row>
    <row r="30" customFormat="false" ht="36" hidden="false" customHeight="true" outlineLevel="0" collapsed="false">
      <c r="A30" s="5" t="s">
        <v>24</v>
      </c>
      <c r="B30" s="5" t="s">
        <v>372</v>
      </c>
      <c r="C30" s="5" t="s">
        <v>373</v>
      </c>
      <c r="D30" s="5" t="s">
        <v>316</v>
      </c>
      <c r="E30" s="5" t="s">
        <v>312</v>
      </c>
      <c r="F30" s="5" t="s">
        <v>374</v>
      </c>
    </row>
    <row r="31" customFormat="false" ht="36" hidden="false" customHeight="true" outlineLevel="0" collapsed="false">
      <c r="A31" s="6" t="s">
        <v>24</v>
      </c>
      <c r="B31" s="6" t="s">
        <v>375</v>
      </c>
      <c r="C31" s="6" t="s">
        <v>376</v>
      </c>
      <c r="D31" s="6" t="s">
        <v>320</v>
      </c>
      <c r="E31" s="6" t="s">
        <v>312</v>
      </c>
      <c r="F31" s="6" t="s">
        <v>317</v>
      </c>
    </row>
    <row r="33" customFormat="false" ht="27.75" hidden="false" customHeight="true" outlineLevel="0" collapsed="false">
      <c r="A33" s="3" t="s">
        <v>377</v>
      </c>
      <c r="B33" s="3"/>
      <c r="C33" s="3"/>
      <c r="D33" s="3"/>
      <c r="E33" s="3"/>
      <c r="F33" s="3"/>
    </row>
    <row r="34" customFormat="false" ht="31.5" hidden="false" customHeight="true" outlineLevel="0" collapsed="false">
      <c r="A34" s="4" t="s">
        <v>4</v>
      </c>
      <c r="B34" s="4" t="s">
        <v>306</v>
      </c>
      <c r="C34" s="4" t="s">
        <v>307</v>
      </c>
      <c r="D34" s="4" t="s">
        <v>308</v>
      </c>
      <c r="E34" s="4" t="s">
        <v>9</v>
      </c>
      <c r="F34" s="4" t="s">
        <v>84</v>
      </c>
    </row>
    <row r="35" customFormat="false" ht="36" hidden="false" customHeight="true" outlineLevel="0" collapsed="false">
      <c r="A35" s="6" t="s">
        <v>11</v>
      </c>
      <c r="B35" s="6" t="s">
        <v>378</v>
      </c>
      <c r="C35" s="6" t="s">
        <v>379</v>
      </c>
      <c r="D35" s="6" t="s">
        <v>320</v>
      </c>
      <c r="E35" s="6" t="s">
        <v>312</v>
      </c>
      <c r="F35" s="6" t="s">
        <v>380</v>
      </c>
    </row>
    <row r="36" customFormat="false" ht="36" hidden="false" customHeight="true" outlineLevel="0" collapsed="false">
      <c r="A36" s="5" t="s">
        <v>11</v>
      </c>
      <c r="B36" s="5" t="s">
        <v>381</v>
      </c>
      <c r="C36" s="5" t="s">
        <v>382</v>
      </c>
      <c r="D36" s="5" t="s">
        <v>383</v>
      </c>
      <c r="E36" s="5" t="s">
        <v>312</v>
      </c>
      <c r="F36" s="5" t="s">
        <v>384</v>
      </c>
    </row>
    <row r="37" customFormat="false" ht="36" hidden="false" customHeight="true" outlineLevel="0" collapsed="false">
      <c r="A37" s="6" t="s">
        <v>11</v>
      </c>
      <c r="B37" s="6" t="s">
        <v>385</v>
      </c>
      <c r="C37" s="6" t="s">
        <v>386</v>
      </c>
      <c r="D37" s="6" t="s">
        <v>387</v>
      </c>
      <c r="E37" s="6" t="s">
        <v>312</v>
      </c>
      <c r="F37" s="6" t="s">
        <v>388</v>
      </c>
    </row>
    <row r="38" customFormat="false" ht="36" hidden="false" customHeight="true" outlineLevel="0" collapsed="false">
      <c r="A38" s="5" t="s">
        <v>11</v>
      </c>
      <c r="B38" s="5" t="s">
        <v>389</v>
      </c>
      <c r="C38" s="5" t="s">
        <v>390</v>
      </c>
      <c r="D38" s="5" t="s">
        <v>311</v>
      </c>
      <c r="E38" s="5" t="s">
        <v>312</v>
      </c>
      <c r="F38" s="5" t="s">
        <v>391</v>
      </c>
    </row>
    <row r="39" customFormat="false" ht="36" hidden="false" customHeight="true" outlineLevel="0" collapsed="false">
      <c r="A39" s="6" t="s">
        <v>11</v>
      </c>
      <c r="B39" s="6" t="s">
        <v>392</v>
      </c>
      <c r="C39" s="6" t="s">
        <v>393</v>
      </c>
      <c r="D39" s="6" t="s">
        <v>316</v>
      </c>
      <c r="E39" s="6" t="s">
        <v>312</v>
      </c>
      <c r="F39" s="6" t="s">
        <v>394</v>
      </c>
    </row>
    <row r="40" customFormat="false" ht="36" hidden="false" customHeight="true" outlineLevel="0" collapsed="false">
      <c r="A40" s="5" t="s">
        <v>18</v>
      </c>
      <c r="B40" s="5" t="s">
        <v>395</v>
      </c>
      <c r="C40" s="5" t="s">
        <v>396</v>
      </c>
      <c r="D40" s="5" t="s">
        <v>320</v>
      </c>
      <c r="E40" s="5" t="s">
        <v>312</v>
      </c>
      <c r="F40" s="5" t="s">
        <v>397</v>
      </c>
    </row>
    <row r="41" customFormat="false" ht="36" hidden="false" customHeight="true" outlineLevel="0" collapsed="false">
      <c r="A41" s="6" t="s">
        <v>18</v>
      </c>
      <c r="B41" s="6" t="s">
        <v>192</v>
      </c>
      <c r="C41" s="6" t="s">
        <v>398</v>
      </c>
      <c r="D41" s="6" t="s">
        <v>320</v>
      </c>
      <c r="E41" s="6" t="s">
        <v>312</v>
      </c>
      <c r="F41" s="6" t="s">
        <v>399</v>
      </c>
    </row>
    <row r="42" customFormat="false" ht="36" hidden="false" customHeight="true" outlineLevel="0" collapsed="false">
      <c r="A42" s="5" t="s">
        <v>18</v>
      </c>
      <c r="B42" s="5" t="s">
        <v>400</v>
      </c>
      <c r="C42" s="5" t="s">
        <v>401</v>
      </c>
      <c r="D42" s="5" t="s">
        <v>383</v>
      </c>
      <c r="E42" s="5" t="s">
        <v>312</v>
      </c>
      <c r="F42" s="5" t="s">
        <v>402</v>
      </c>
    </row>
    <row r="43" customFormat="false" ht="36" hidden="false" customHeight="true" outlineLevel="0" collapsed="false">
      <c r="A43" s="6" t="s">
        <v>18</v>
      </c>
      <c r="B43" s="6" t="s">
        <v>403</v>
      </c>
      <c r="C43" s="6" t="s">
        <v>404</v>
      </c>
      <c r="D43" s="6" t="s">
        <v>324</v>
      </c>
      <c r="E43" s="6" t="s">
        <v>312</v>
      </c>
      <c r="F43" s="6" t="s">
        <v>405</v>
      </c>
    </row>
    <row r="44" customFormat="false" ht="36" hidden="false" customHeight="true" outlineLevel="0" collapsed="false">
      <c r="A44" s="5" t="s">
        <v>18</v>
      </c>
      <c r="B44" s="5" t="s">
        <v>406</v>
      </c>
      <c r="C44" s="5" t="s">
        <v>407</v>
      </c>
      <c r="D44" s="5" t="s">
        <v>408</v>
      </c>
      <c r="E44" s="5" t="s">
        <v>312</v>
      </c>
      <c r="F44" s="5" t="s">
        <v>409</v>
      </c>
    </row>
    <row r="45" customFormat="false" ht="36" hidden="false" customHeight="true" outlineLevel="0" collapsed="false">
      <c r="A45" s="6" t="s">
        <v>18</v>
      </c>
      <c r="B45" s="6" t="s">
        <v>410</v>
      </c>
      <c r="C45" s="6" t="s">
        <v>411</v>
      </c>
      <c r="D45" s="6" t="s">
        <v>316</v>
      </c>
      <c r="E45" s="6" t="s">
        <v>312</v>
      </c>
      <c r="F45" s="6" t="s">
        <v>412</v>
      </c>
    </row>
    <row r="46" customFormat="false" ht="36" hidden="false" customHeight="true" outlineLevel="0" collapsed="false">
      <c r="A46" s="5" t="s">
        <v>24</v>
      </c>
      <c r="B46" s="5" t="s">
        <v>413</v>
      </c>
      <c r="C46" s="5" t="s">
        <v>414</v>
      </c>
      <c r="D46" s="5" t="s">
        <v>324</v>
      </c>
      <c r="E46" s="5" t="s">
        <v>312</v>
      </c>
      <c r="F46" s="5" t="s">
        <v>415</v>
      </c>
    </row>
    <row r="47" customFormat="false" ht="36" hidden="false" customHeight="true" outlineLevel="0" collapsed="false">
      <c r="A47" s="6" t="s">
        <v>24</v>
      </c>
      <c r="B47" s="6" t="s">
        <v>416</v>
      </c>
      <c r="C47" s="6" t="s">
        <v>417</v>
      </c>
      <c r="D47" s="6" t="s">
        <v>311</v>
      </c>
      <c r="E47" s="6" t="s">
        <v>312</v>
      </c>
      <c r="F47" s="6" t="s">
        <v>391</v>
      </c>
    </row>
    <row r="48" customFormat="false" ht="36" hidden="false" customHeight="true" outlineLevel="0" collapsed="false">
      <c r="A48" s="5" t="s">
        <v>24</v>
      </c>
      <c r="B48" s="5" t="s">
        <v>418</v>
      </c>
      <c r="C48" s="5" t="s">
        <v>419</v>
      </c>
      <c r="D48" s="5" t="s">
        <v>311</v>
      </c>
      <c r="E48" s="5" t="s">
        <v>312</v>
      </c>
      <c r="F48" s="5" t="s">
        <v>391</v>
      </c>
    </row>
    <row r="49" customFormat="false" ht="36" hidden="false" customHeight="true" outlineLevel="0" collapsed="false">
      <c r="A49" s="6" t="s">
        <v>24</v>
      </c>
      <c r="B49" s="6" t="s">
        <v>420</v>
      </c>
      <c r="C49" s="6" t="s">
        <v>421</v>
      </c>
      <c r="D49" s="6" t="s">
        <v>324</v>
      </c>
      <c r="E49" s="6" t="s">
        <v>312</v>
      </c>
      <c r="F49" s="6" t="s">
        <v>422</v>
      </c>
    </row>
    <row r="50" customFormat="false" ht="36" hidden="false" customHeight="true" outlineLevel="0" collapsed="false">
      <c r="A50" s="5" t="s">
        <v>24</v>
      </c>
      <c r="B50" s="5" t="s">
        <v>423</v>
      </c>
      <c r="C50" s="5" t="s">
        <v>424</v>
      </c>
      <c r="D50" s="5" t="s">
        <v>311</v>
      </c>
      <c r="E50" s="5" t="s">
        <v>312</v>
      </c>
      <c r="F50" s="5" t="s">
        <v>425</v>
      </c>
    </row>
    <row r="51" customFormat="false" ht="36" hidden="false" customHeight="true" outlineLevel="0" collapsed="false">
      <c r="A51" s="6" t="s">
        <v>336</v>
      </c>
      <c r="B51" s="6" t="s">
        <v>426</v>
      </c>
      <c r="C51" s="6" t="s">
        <v>427</v>
      </c>
      <c r="D51" s="6" t="s">
        <v>428</v>
      </c>
      <c r="E51" s="6" t="s">
        <v>312</v>
      </c>
      <c r="F51" s="6" t="s">
        <v>429</v>
      </c>
    </row>
    <row r="52" customFormat="false" ht="36" hidden="false" customHeight="true" outlineLevel="0" collapsed="false">
      <c r="A52" s="5" t="s">
        <v>336</v>
      </c>
      <c r="B52" s="5" t="s">
        <v>430</v>
      </c>
      <c r="C52" s="5" t="s">
        <v>431</v>
      </c>
      <c r="D52" s="5" t="s">
        <v>432</v>
      </c>
      <c r="E52" s="5" t="s">
        <v>312</v>
      </c>
      <c r="F52" s="5" t="s">
        <v>433</v>
      </c>
    </row>
  </sheetData>
  <mergeCells count="4">
    <mergeCell ref="A1:F1"/>
    <mergeCell ref="A3:F3"/>
    <mergeCell ref="A18:F18"/>
    <mergeCell ref="A33:F33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8"/>
  </cols>
  <sheetData>
    <row r="1" customFormat="false" ht="31.5" hidden="false" customHeight="true" outlineLevel="0" collapsed="false">
      <c r="A1" s="1" t="s">
        <v>434</v>
      </c>
      <c r="B1" s="1"/>
      <c r="C1" s="1"/>
      <c r="D1" s="1"/>
      <c r="E1" s="1"/>
    </row>
    <row r="2" customFormat="false" ht="15" hidden="false" customHeight="false" outlineLevel="0" collapsed="false">
      <c r="A2" s="7" t="s">
        <v>435</v>
      </c>
      <c r="B2" s="7"/>
      <c r="C2" s="7"/>
      <c r="D2" s="7"/>
      <c r="E2" s="7"/>
    </row>
    <row r="4" customFormat="false" ht="31.5" hidden="false" customHeight="true" outlineLevel="0" collapsed="false">
      <c r="A4" s="4" t="s">
        <v>436</v>
      </c>
      <c r="B4" s="4" t="s">
        <v>437</v>
      </c>
      <c r="C4" s="4" t="s">
        <v>438</v>
      </c>
      <c r="D4" s="4" t="s">
        <v>4</v>
      </c>
      <c r="E4" s="4" t="s">
        <v>84</v>
      </c>
    </row>
    <row r="5" customFormat="false" ht="24" hidden="false" customHeight="true" outlineLevel="0" collapsed="false">
      <c r="A5" s="6" t="s">
        <v>439</v>
      </c>
      <c r="B5" s="6" t="s">
        <v>440</v>
      </c>
      <c r="C5" s="8" t="n">
        <v>4000</v>
      </c>
      <c r="D5" s="6" t="s">
        <v>11</v>
      </c>
      <c r="E5" s="6" t="s">
        <v>441</v>
      </c>
    </row>
    <row r="6" customFormat="false" ht="24" hidden="false" customHeight="true" outlineLevel="0" collapsed="false">
      <c r="A6" s="5" t="s">
        <v>439</v>
      </c>
      <c r="B6" s="5" t="s">
        <v>442</v>
      </c>
      <c r="C6" s="9" t="n">
        <v>70</v>
      </c>
      <c r="D6" s="5" t="s">
        <v>11</v>
      </c>
      <c r="E6" s="5" t="s">
        <v>443</v>
      </c>
    </row>
    <row r="7" customFormat="false" ht="24" hidden="false" customHeight="true" outlineLevel="0" collapsed="false">
      <c r="A7" s="6" t="s">
        <v>439</v>
      </c>
      <c r="B7" s="6" t="s">
        <v>444</v>
      </c>
      <c r="C7" s="8" t="n">
        <v>125</v>
      </c>
      <c r="D7" s="6" t="s">
        <v>11</v>
      </c>
      <c r="E7" s="6" t="s">
        <v>443</v>
      </c>
    </row>
    <row r="8" customFormat="false" ht="24" hidden="false" customHeight="true" outlineLevel="0" collapsed="false">
      <c r="A8" s="5" t="s">
        <v>439</v>
      </c>
      <c r="B8" s="5" t="s">
        <v>445</v>
      </c>
      <c r="C8" s="9" t="n">
        <v>600</v>
      </c>
      <c r="D8" s="5" t="s">
        <v>11</v>
      </c>
      <c r="E8" s="5" t="s">
        <v>446</v>
      </c>
    </row>
    <row r="9" customFormat="false" ht="24" hidden="false" customHeight="true" outlineLevel="0" collapsed="false">
      <c r="A9" s="6" t="s">
        <v>439</v>
      </c>
      <c r="B9" s="6" t="s">
        <v>447</v>
      </c>
      <c r="C9" s="8" t="n">
        <v>35</v>
      </c>
      <c r="D9" s="6" t="s">
        <v>11</v>
      </c>
      <c r="E9" s="6" t="s">
        <v>448</v>
      </c>
    </row>
    <row r="10" customFormat="false" ht="24" hidden="false" customHeight="true" outlineLevel="0" collapsed="false">
      <c r="A10" s="5" t="s">
        <v>449</v>
      </c>
      <c r="B10" s="5" t="s">
        <v>450</v>
      </c>
      <c r="C10" s="9" t="n">
        <v>177</v>
      </c>
      <c r="D10" s="5" t="s">
        <v>18</v>
      </c>
      <c r="E10" s="5" t="s">
        <v>399</v>
      </c>
    </row>
    <row r="11" customFormat="false" ht="24" hidden="false" customHeight="true" outlineLevel="0" collapsed="false">
      <c r="A11" s="6" t="s">
        <v>449</v>
      </c>
      <c r="B11" s="6" t="s">
        <v>451</v>
      </c>
      <c r="C11" s="8" t="n">
        <v>60</v>
      </c>
      <c r="D11" s="6" t="s">
        <v>18</v>
      </c>
      <c r="E11" s="6" t="s">
        <v>452</v>
      </c>
    </row>
    <row r="12" customFormat="false" ht="24" hidden="false" customHeight="true" outlineLevel="0" collapsed="false">
      <c r="A12" s="5" t="s">
        <v>449</v>
      </c>
      <c r="B12" s="5" t="s">
        <v>453</v>
      </c>
      <c r="C12" s="9" t="n">
        <v>200</v>
      </c>
      <c r="D12" s="5" t="s">
        <v>18</v>
      </c>
      <c r="E12" s="5" t="s">
        <v>454</v>
      </c>
    </row>
    <row r="13" customFormat="false" ht="24" hidden="false" customHeight="true" outlineLevel="0" collapsed="false">
      <c r="A13" s="6" t="s">
        <v>449</v>
      </c>
      <c r="B13" s="6" t="s">
        <v>455</v>
      </c>
      <c r="C13" s="8" t="n">
        <v>0</v>
      </c>
      <c r="D13" s="6" t="s">
        <v>18</v>
      </c>
      <c r="E13" s="6" t="s">
        <v>456</v>
      </c>
    </row>
    <row r="14" customFormat="false" ht="24" hidden="false" customHeight="true" outlineLevel="0" collapsed="false">
      <c r="A14" s="5" t="s">
        <v>449</v>
      </c>
      <c r="B14" s="5" t="s">
        <v>457</v>
      </c>
      <c r="C14" s="9" t="n">
        <v>300</v>
      </c>
      <c r="D14" s="5" t="s">
        <v>458</v>
      </c>
      <c r="E14" s="5" t="s">
        <v>459</v>
      </c>
    </row>
    <row r="15" customFormat="false" ht="24" hidden="false" customHeight="true" outlineLevel="0" collapsed="false">
      <c r="A15" s="6" t="s">
        <v>460</v>
      </c>
      <c r="B15" s="6" t="s">
        <v>461</v>
      </c>
      <c r="C15" s="8" t="n">
        <v>3000</v>
      </c>
      <c r="D15" s="6" t="s">
        <v>24</v>
      </c>
      <c r="E15" s="6" t="s">
        <v>462</v>
      </c>
    </row>
    <row r="16" customFormat="false" ht="24" hidden="false" customHeight="true" outlineLevel="0" collapsed="false">
      <c r="A16" s="5" t="s">
        <v>460</v>
      </c>
      <c r="B16" s="5" t="s">
        <v>463</v>
      </c>
      <c r="C16" s="9" t="n">
        <v>1100</v>
      </c>
      <c r="D16" s="5" t="s">
        <v>24</v>
      </c>
      <c r="E16" s="5" t="s">
        <v>464</v>
      </c>
    </row>
    <row r="17" customFormat="false" ht="24" hidden="false" customHeight="true" outlineLevel="0" collapsed="false">
      <c r="A17" s="6" t="s">
        <v>460</v>
      </c>
      <c r="B17" s="6" t="s">
        <v>465</v>
      </c>
      <c r="C17" s="8" t="n">
        <v>300</v>
      </c>
      <c r="D17" s="6" t="s">
        <v>24</v>
      </c>
      <c r="E17" s="6" t="s">
        <v>466</v>
      </c>
    </row>
    <row r="18" customFormat="false" ht="24" hidden="false" customHeight="true" outlineLevel="0" collapsed="false">
      <c r="A18" s="5" t="s">
        <v>460</v>
      </c>
      <c r="B18" s="5" t="s">
        <v>467</v>
      </c>
      <c r="C18" s="9" t="n">
        <v>200</v>
      </c>
      <c r="D18" s="5" t="s">
        <v>24</v>
      </c>
      <c r="E18" s="5" t="s">
        <v>468</v>
      </c>
    </row>
    <row r="19" customFormat="false" ht="24" hidden="false" customHeight="true" outlineLevel="0" collapsed="false">
      <c r="A19" s="6" t="s">
        <v>460</v>
      </c>
      <c r="B19" s="6" t="s">
        <v>469</v>
      </c>
      <c r="C19" s="8" t="n">
        <v>4500</v>
      </c>
      <c r="D19" s="6" t="s">
        <v>24</v>
      </c>
      <c r="E19" s="6" t="s">
        <v>470</v>
      </c>
    </row>
    <row r="20" customFormat="false" ht="24" hidden="false" customHeight="true" outlineLevel="0" collapsed="false">
      <c r="A20" s="5" t="s">
        <v>460</v>
      </c>
      <c r="B20" s="5" t="s">
        <v>471</v>
      </c>
      <c r="C20" s="9" t="n">
        <v>349</v>
      </c>
      <c r="D20" s="5" t="s">
        <v>24</v>
      </c>
      <c r="E20" s="5" t="s">
        <v>472</v>
      </c>
    </row>
    <row r="21" customFormat="false" ht="24" hidden="false" customHeight="true" outlineLevel="0" collapsed="false">
      <c r="A21" s="6" t="s">
        <v>460</v>
      </c>
      <c r="B21" s="6" t="s">
        <v>473</v>
      </c>
      <c r="C21" s="8" t="n">
        <v>80</v>
      </c>
      <c r="D21" s="6" t="s">
        <v>24</v>
      </c>
      <c r="E21" s="6" t="s">
        <v>474</v>
      </c>
    </row>
    <row r="22" customFormat="false" ht="24" hidden="false" customHeight="true" outlineLevel="0" collapsed="false">
      <c r="A22" s="5" t="s">
        <v>460</v>
      </c>
      <c r="B22" s="5" t="s">
        <v>475</v>
      </c>
      <c r="C22" s="9" t="n">
        <v>300</v>
      </c>
      <c r="D22" s="5" t="s">
        <v>24</v>
      </c>
      <c r="E22" s="5" t="s">
        <v>476</v>
      </c>
    </row>
    <row r="23" customFormat="false" ht="24" hidden="false" customHeight="true" outlineLevel="0" collapsed="false">
      <c r="A23" s="6" t="s">
        <v>460</v>
      </c>
      <c r="B23" s="6" t="s">
        <v>477</v>
      </c>
      <c r="C23" s="8" t="n">
        <v>300</v>
      </c>
      <c r="D23" s="6" t="s">
        <v>24</v>
      </c>
      <c r="E23" s="6" t="s">
        <v>478</v>
      </c>
    </row>
    <row r="24" customFormat="false" ht="24" hidden="false" customHeight="true" outlineLevel="0" collapsed="false">
      <c r="A24" s="5" t="s">
        <v>460</v>
      </c>
      <c r="B24" s="5" t="s">
        <v>479</v>
      </c>
      <c r="C24" s="9" t="n">
        <v>1950</v>
      </c>
      <c r="D24" s="5" t="s">
        <v>24</v>
      </c>
      <c r="E24" s="5" t="s">
        <v>480</v>
      </c>
    </row>
    <row r="25" customFormat="false" ht="24" hidden="false" customHeight="true" outlineLevel="0" collapsed="false">
      <c r="A25" s="6" t="s">
        <v>460</v>
      </c>
      <c r="B25" s="6" t="s">
        <v>481</v>
      </c>
      <c r="C25" s="8" t="n">
        <v>1000</v>
      </c>
      <c r="D25" s="6" t="s">
        <v>24</v>
      </c>
      <c r="E25" s="6" t="s">
        <v>482</v>
      </c>
    </row>
    <row r="26" customFormat="false" ht="24" hidden="false" customHeight="true" outlineLevel="0" collapsed="false">
      <c r="A26" s="5" t="s">
        <v>460</v>
      </c>
      <c r="B26" s="5" t="s">
        <v>483</v>
      </c>
      <c r="C26" s="9" t="n">
        <v>1500</v>
      </c>
      <c r="D26" s="5" t="s">
        <v>24</v>
      </c>
      <c r="E26" s="5" t="s">
        <v>484</v>
      </c>
    </row>
    <row r="27" customFormat="false" ht="24" hidden="false" customHeight="true" outlineLevel="0" collapsed="false">
      <c r="A27" s="6" t="s">
        <v>460</v>
      </c>
      <c r="B27" s="6" t="s">
        <v>485</v>
      </c>
      <c r="C27" s="8" t="n">
        <v>2225</v>
      </c>
      <c r="D27" s="6" t="s">
        <v>24</v>
      </c>
      <c r="E27" s="6" t="s">
        <v>486</v>
      </c>
    </row>
    <row r="28" customFormat="false" ht="24" hidden="false" customHeight="true" outlineLevel="0" collapsed="false">
      <c r="A28" s="5" t="s">
        <v>487</v>
      </c>
      <c r="B28" s="5" t="s">
        <v>488</v>
      </c>
      <c r="C28" s="9" t="n">
        <v>1000</v>
      </c>
      <c r="D28" s="5" t="s">
        <v>24</v>
      </c>
      <c r="E28" s="5" t="s">
        <v>489</v>
      </c>
    </row>
    <row r="29" customFormat="false" ht="24" hidden="false" customHeight="true" outlineLevel="0" collapsed="false">
      <c r="A29" s="6" t="s">
        <v>487</v>
      </c>
      <c r="B29" s="6" t="s">
        <v>490</v>
      </c>
      <c r="C29" s="8" t="n">
        <v>500</v>
      </c>
      <c r="D29" s="6" t="s">
        <v>24</v>
      </c>
      <c r="E29" s="6" t="s">
        <v>491</v>
      </c>
    </row>
    <row r="30" customFormat="false" ht="24" hidden="false" customHeight="true" outlineLevel="0" collapsed="false">
      <c r="A30" s="5" t="s">
        <v>449</v>
      </c>
      <c r="B30" s="5" t="s">
        <v>492</v>
      </c>
      <c r="C30" s="9" t="n">
        <f aca="false">ROUND(SUM(C5:C29)*0.1,0)</f>
        <v>2387</v>
      </c>
      <c r="D30" s="5" t="s">
        <v>91</v>
      </c>
      <c r="E30" s="5" t="s">
        <v>493</v>
      </c>
    </row>
    <row r="31" customFormat="false" ht="15" hidden="false" customHeight="false" outlineLevel="0" collapsed="false">
      <c r="A31" s="10"/>
      <c r="B31" s="11" t="s">
        <v>494</v>
      </c>
      <c r="C31" s="12" t="n">
        <f aca="false">SUM(C5:C29)</f>
        <v>23871</v>
      </c>
      <c r="D31" s="10"/>
      <c r="E31" s="10"/>
    </row>
    <row r="33" customFormat="false" ht="27.75" hidden="false" customHeight="true" outlineLevel="0" collapsed="false">
      <c r="A33" s="13" t="s">
        <v>495</v>
      </c>
      <c r="B33" s="13"/>
      <c r="C33" s="14" t="n">
        <f aca="false">C31</f>
        <v>23871</v>
      </c>
    </row>
    <row r="35" customFormat="false" ht="15" hidden="false" customHeight="false" outlineLevel="0" collapsed="false">
      <c r="A35" s="15" t="s">
        <v>496</v>
      </c>
      <c r="B35" s="15"/>
      <c r="C35" s="15"/>
      <c r="D35" s="15"/>
      <c r="E35" s="15"/>
    </row>
    <row r="36" customFormat="false" ht="18" hidden="false" customHeight="true" outlineLevel="0" collapsed="false">
      <c r="A36" s="16" t="s">
        <v>497</v>
      </c>
      <c r="B36" s="16"/>
      <c r="C36" s="16"/>
      <c r="D36" s="16"/>
      <c r="E36" s="16"/>
    </row>
    <row r="37" customFormat="false" ht="18" hidden="false" customHeight="true" outlineLevel="0" collapsed="false">
      <c r="A37" s="16" t="s">
        <v>498</v>
      </c>
      <c r="B37" s="16"/>
      <c r="C37" s="16"/>
      <c r="D37" s="16"/>
      <c r="E37" s="16"/>
    </row>
    <row r="38" customFormat="false" ht="18" hidden="false" customHeight="true" outlineLevel="0" collapsed="false">
      <c r="A38" s="16" t="s">
        <v>499</v>
      </c>
      <c r="B38" s="16"/>
      <c r="C38" s="16"/>
      <c r="D38" s="16"/>
      <c r="E38" s="16"/>
    </row>
    <row r="39" customFormat="false" ht="18" hidden="false" customHeight="true" outlineLevel="0" collapsed="false">
      <c r="A39" s="16" t="s">
        <v>500</v>
      </c>
      <c r="B39" s="16"/>
      <c r="C39" s="16"/>
      <c r="D39" s="16"/>
      <c r="E39" s="16"/>
    </row>
    <row r="40" customFormat="false" ht="18" hidden="false" customHeight="true" outlineLevel="0" collapsed="false">
      <c r="A40" s="16" t="s">
        <v>501</v>
      </c>
      <c r="B40" s="16"/>
      <c r="C40" s="16"/>
      <c r="D40" s="16"/>
      <c r="E40" s="16"/>
    </row>
    <row r="41" customFormat="false" ht="18" hidden="false" customHeight="true" outlineLevel="0" collapsed="false">
      <c r="A41" s="16" t="s">
        <v>502</v>
      </c>
      <c r="B41" s="16"/>
      <c r="C41" s="16"/>
      <c r="D41" s="16"/>
      <c r="E41" s="16"/>
    </row>
  </sheetData>
  <mergeCells count="10">
    <mergeCell ref="A1:E1"/>
    <mergeCell ref="A2:E2"/>
    <mergeCell ref="A33:B33"/>
    <mergeCell ref="A35:E35"/>
    <mergeCell ref="A36:E36"/>
    <mergeCell ref="A37:E37"/>
    <mergeCell ref="A38:E38"/>
    <mergeCell ref="A39:E39"/>
    <mergeCell ref="A40:E40"/>
    <mergeCell ref="A41:E4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2026-04-14T01:27:13Z</dcterms:created>
  <dc:creator>openpyxl</dc:creator>
  <dc:description/>
  <dc:language>en-US</dc:language>
  <cp:lastModifiedBy/>
  <dcterms:modified xsi:type="dcterms:W3CDTF">2026-04-14T01:27:13Z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